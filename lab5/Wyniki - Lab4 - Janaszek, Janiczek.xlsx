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248C4186-7B53-481A-805D-ED7C0692D8D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abela 1" sheetId="1" r:id="rId1"/>
    <sheet name="Tabela 2" sheetId="8" r:id="rId2"/>
    <sheet name="Wykresy" sheetId="9" r:id="rId3"/>
    <sheet name="Klasyfikator" sheetId="13" r:id="rId4"/>
    <sheet name="Wykres" sheetId="1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06" i="1" l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205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104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P3" i="1"/>
  <c r="J3" i="1"/>
  <c r="L142" i="1" a="1"/>
  <c r="L142" i="1" s="1"/>
  <c r="L145" i="1" a="1"/>
  <c r="L145" i="1" s="1"/>
  <c r="L158" i="1" a="1"/>
  <c r="L158" i="1" s="1"/>
  <c r="L192" i="1" a="1"/>
  <c r="L192" i="1" s="1"/>
  <c r="L203" i="1" a="1"/>
  <c r="L203" i="1"/>
  <c r="L12" i="1" a="1"/>
  <c r="L12" i="1" s="1"/>
  <c r="L82" i="1" a="1"/>
  <c r="L82" i="1"/>
  <c r="R305" i="1"/>
  <c r="O5" i="8" s="1"/>
  <c r="K15" i="14"/>
  <c r="K16" i="14"/>
  <c r="K17" i="14"/>
  <c r="K18" i="14"/>
  <c r="K19" i="14"/>
  <c r="K20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38" i="14"/>
  <c r="K39" i="14"/>
  <c r="K40" i="14"/>
  <c r="K41" i="14"/>
  <c r="K42" i="14"/>
  <c r="K43" i="14"/>
  <c r="K44" i="14"/>
  <c r="K45" i="14"/>
  <c r="K46" i="14"/>
  <c r="K47" i="14"/>
  <c r="K48" i="14"/>
  <c r="K49" i="14"/>
  <c r="K50" i="14"/>
  <c r="K51" i="14"/>
  <c r="K52" i="14"/>
  <c r="K53" i="14"/>
  <c r="K54" i="14"/>
  <c r="K55" i="14"/>
  <c r="K56" i="14"/>
  <c r="K57" i="14"/>
  <c r="K58" i="14"/>
  <c r="K59" i="14"/>
  <c r="K60" i="14"/>
  <c r="K61" i="14"/>
  <c r="K62" i="14"/>
  <c r="K63" i="14"/>
  <c r="K64" i="14"/>
  <c r="K65" i="14"/>
  <c r="K66" i="14"/>
  <c r="K67" i="14"/>
  <c r="K68" i="14"/>
  <c r="K69" i="14"/>
  <c r="K70" i="14"/>
  <c r="K71" i="14"/>
  <c r="K72" i="14"/>
  <c r="K73" i="14"/>
  <c r="K74" i="14"/>
  <c r="K75" i="14"/>
  <c r="K76" i="14"/>
  <c r="K77" i="14"/>
  <c r="K78" i="14"/>
  <c r="K79" i="14"/>
  <c r="K80" i="14"/>
  <c r="K81" i="14"/>
  <c r="K82" i="14"/>
  <c r="K83" i="14"/>
  <c r="K84" i="14"/>
  <c r="K85" i="14"/>
  <c r="K86" i="14"/>
  <c r="K87" i="14"/>
  <c r="K88" i="14"/>
  <c r="K89" i="14"/>
  <c r="K90" i="14"/>
  <c r="K91" i="14"/>
  <c r="K92" i="14"/>
  <c r="K93" i="14"/>
  <c r="K94" i="14"/>
  <c r="K95" i="14"/>
  <c r="K96" i="14"/>
  <c r="K97" i="14"/>
  <c r="K98" i="14"/>
  <c r="K99" i="14"/>
  <c r="K100" i="14"/>
  <c r="K101" i="14"/>
  <c r="K102" i="14"/>
  <c r="K103" i="14"/>
  <c r="K104" i="14"/>
  <c r="K105" i="14"/>
  <c r="K106" i="14"/>
  <c r="K107" i="14"/>
  <c r="K108" i="14"/>
  <c r="K109" i="14"/>
  <c r="K110" i="14"/>
  <c r="K111" i="14"/>
  <c r="K112" i="14"/>
  <c r="K113" i="14"/>
  <c r="K14" i="14"/>
  <c r="H18" i="14" a="1"/>
  <c r="H18" i="14" s="1"/>
  <c r="H19" i="14" a="1"/>
  <c r="H19" i="14" s="1"/>
  <c r="H20" i="14" a="1"/>
  <c r="H20" i="14" s="1"/>
  <c r="H21" i="14" a="1"/>
  <c r="H21" i="14" s="1"/>
  <c r="H22" i="14" a="1"/>
  <c r="H22" i="14" s="1"/>
  <c r="H23" i="14" a="1"/>
  <c r="H23" i="14" s="1"/>
  <c r="H24" i="14" a="1"/>
  <c r="H24" i="14" s="1"/>
  <c r="H25" i="14" a="1"/>
  <c r="H25" i="14" s="1"/>
  <c r="H26" i="14" a="1"/>
  <c r="H26" i="14" s="1"/>
  <c r="H27" i="14" a="1"/>
  <c r="H27" i="14" s="1"/>
  <c r="H28" i="14" a="1"/>
  <c r="H28" i="14" s="1"/>
  <c r="H29" i="14" a="1"/>
  <c r="H29" i="14" s="1"/>
  <c r="H30" i="14" a="1"/>
  <c r="H30" i="14" s="1"/>
  <c r="H31" i="14" a="1"/>
  <c r="H31" i="14" s="1"/>
  <c r="H32" i="14" a="1"/>
  <c r="H32" i="14" s="1"/>
  <c r="H33" i="14" a="1"/>
  <c r="H33" i="14" s="1"/>
  <c r="H34" i="14" a="1"/>
  <c r="H34" i="14" s="1"/>
  <c r="H35" i="14" a="1"/>
  <c r="H35" i="14" s="1"/>
  <c r="H36" i="14" a="1"/>
  <c r="H36" i="14" s="1"/>
  <c r="H37" i="14" a="1"/>
  <c r="H37" i="14" s="1"/>
  <c r="H38" i="14" a="1"/>
  <c r="H38" i="14" s="1"/>
  <c r="H39" i="14" a="1"/>
  <c r="H39" i="14" s="1"/>
  <c r="H40" i="14" a="1"/>
  <c r="H40" i="14" s="1"/>
  <c r="H41" i="14" a="1"/>
  <c r="H41" i="14" s="1"/>
  <c r="H42" i="14" a="1"/>
  <c r="H42" i="14" s="1"/>
  <c r="H43" i="14" a="1"/>
  <c r="H43" i="14" s="1"/>
  <c r="H44" i="14" a="1"/>
  <c r="H44" i="14" s="1"/>
  <c r="H45" i="14" a="1"/>
  <c r="H45" i="14" s="1"/>
  <c r="H46" i="14" a="1"/>
  <c r="H46" i="14" s="1"/>
  <c r="H47" i="14" a="1"/>
  <c r="H47" i="14" s="1"/>
  <c r="H48" i="14" a="1"/>
  <c r="H48" i="14" s="1"/>
  <c r="H49" i="14" a="1"/>
  <c r="H49" i="14" s="1"/>
  <c r="H50" i="14" a="1"/>
  <c r="H50" i="14" s="1"/>
  <c r="H51" i="14" a="1"/>
  <c r="H51" i="14" s="1"/>
  <c r="H52" i="14" a="1"/>
  <c r="H52" i="14" s="1"/>
  <c r="H53" i="14" a="1"/>
  <c r="H53" i="14" s="1"/>
  <c r="H54" i="14" a="1"/>
  <c r="H54" i="14" s="1"/>
  <c r="H55" i="14" a="1"/>
  <c r="H55" i="14" s="1"/>
  <c r="H56" i="14" a="1"/>
  <c r="H56" i="14" s="1"/>
  <c r="H57" i="14" a="1"/>
  <c r="H57" i="14" s="1"/>
  <c r="H58" i="14" a="1"/>
  <c r="H58" i="14" s="1"/>
  <c r="H59" i="14" a="1"/>
  <c r="H59" i="14" s="1"/>
  <c r="H60" i="14" a="1"/>
  <c r="H60" i="14" s="1"/>
  <c r="H61" i="14" a="1"/>
  <c r="H61" i="14" s="1"/>
  <c r="H62" i="14" a="1"/>
  <c r="H62" i="14" s="1"/>
  <c r="H63" i="14" a="1"/>
  <c r="H63" i="14" s="1"/>
  <c r="H64" i="14" a="1"/>
  <c r="H64" i="14" s="1"/>
  <c r="H65" i="14" a="1"/>
  <c r="H65" i="14" s="1"/>
  <c r="H66" i="14" a="1"/>
  <c r="H66" i="14" s="1"/>
  <c r="H67" i="14" a="1"/>
  <c r="H67" i="14" s="1"/>
  <c r="H68" i="14" a="1"/>
  <c r="H68" i="14" s="1"/>
  <c r="H69" i="14" a="1"/>
  <c r="H69" i="14" s="1"/>
  <c r="H70" i="14" a="1"/>
  <c r="H70" i="14" s="1"/>
  <c r="H71" i="14" a="1"/>
  <c r="H71" i="14" s="1"/>
  <c r="H72" i="14" a="1"/>
  <c r="H72" i="14" s="1"/>
  <c r="H73" i="14" a="1"/>
  <c r="H73" i="14" s="1"/>
  <c r="H74" i="14" a="1"/>
  <c r="H74" i="14" s="1"/>
  <c r="H75" i="14" a="1"/>
  <c r="H75" i="14" s="1"/>
  <c r="H76" i="14" a="1"/>
  <c r="H76" i="14" s="1"/>
  <c r="H77" i="14" a="1"/>
  <c r="H77" i="14" s="1"/>
  <c r="H78" i="14" a="1"/>
  <c r="H78" i="14" s="1"/>
  <c r="H79" i="14" a="1"/>
  <c r="H79" i="14" s="1"/>
  <c r="H80" i="14" a="1"/>
  <c r="H80" i="14" s="1"/>
  <c r="H81" i="14" a="1"/>
  <c r="H81" i="14" s="1"/>
  <c r="H82" i="14" a="1"/>
  <c r="H82" i="14" s="1"/>
  <c r="H83" i="14" a="1"/>
  <c r="H83" i="14" s="1"/>
  <c r="H84" i="14" a="1"/>
  <c r="H84" i="14" s="1"/>
  <c r="H85" i="14" a="1"/>
  <c r="H85" i="14" s="1"/>
  <c r="H86" i="14" a="1"/>
  <c r="H86" i="14" s="1"/>
  <c r="H87" i="14" a="1"/>
  <c r="H87" i="14" s="1"/>
  <c r="H88" i="14" a="1"/>
  <c r="H88" i="14" s="1"/>
  <c r="H89" i="14" a="1"/>
  <c r="H89" i="14" s="1"/>
  <c r="H90" i="14" a="1"/>
  <c r="H90" i="14" s="1"/>
  <c r="H91" i="14" a="1"/>
  <c r="H91" i="14" s="1"/>
  <c r="H92" i="14" a="1"/>
  <c r="H92" i="14" s="1"/>
  <c r="H93" i="14" a="1"/>
  <c r="H93" i="14" s="1"/>
  <c r="H94" i="14" a="1"/>
  <c r="H94" i="14" s="1"/>
  <c r="H95" i="14" a="1"/>
  <c r="H95" i="14" s="1"/>
  <c r="H96" i="14" a="1"/>
  <c r="H96" i="14" s="1"/>
  <c r="H97" i="14" a="1"/>
  <c r="H97" i="14" s="1"/>
  <c r="H98" i="14" a="1"/>
  <c r="H98" i="14" s="1"/>
  <c r="H99" i="14" a="1"/>
  <c r="H99" i="14" s="1"/>
  <c r="H100" i="14" a="1"/>
  <c r="H100" i="14" s="1"/>
  <c r="H101" i="14" a="1"/>
  <c r="H101" i="14" s="1"/>
  <c r="H102" i="14" a="1"/>
  <c r="H102" i="14" s="1"/>
  <c r="H103" i="14" a="1"/>
  <c r="H103" i="14" s="1"/>
  <c r="H104" i="14" a="1"/>
  <c r="H104" i="14" s="1"/>
  <c r="H105" i="14" a="1"/>
  <c r="H105" i="14" s="1"/>
  <c r="H106" i="14" a="1"/>
  <c r="H106" i="14" s="1"/>
  <c r="H107" i="14" a="1"/>
  <c r="H107" i="14" s="1"/>
  <c r="H108" i="14" a="1"/>
  <c r="H108" i="14" s="1"/>
  <c r="H109" i="14" a="1"/>
  <c r="H109" i="14" s="1"/>
  <c r="H110" i="14" a="1"/>
  <c r="H110" i="14" s="1"/>
  <c r="H111" i="14" a="1"/>
  <c r="H111" i="14" s="1"/>
  <c r="H112" i="14" a="1"/>
  <c r="H112" i="14" s="1"/>
  <c r="H113" i="14" a="1"/>
  <c r="H113" i="14" s="1"/>
  <c r="H15" i="14" a="1"/>
  <c r="H15" i="14" s="1"/>
  <c r="H16" i="14" a="1"/>
  <c r="H16" i="14" s="1"/>
  <c r="H17" i="14" a="1"/>
  <c r="H17" i="14" s="1"/>
  <c r="H14" i="14" a="1"/>
  <c r="H14" i="14" s="1"/>
  <c r="F14" i="14" a="1"/>
  <c r="F14" i="14" s="1"/>
  <c r="F15" i="14" a="1"/>
  <c r="F15" i="14" s="1"/>
  <c r="F16" i="14" a="1"/>
  <c r="F16" i="14"/>
  <c r="F17" i="14" a="1"/>
  <c r="F17" i="14" s="1"/>
  <c r="F18" i="14" a="1"/>
  <c r="F18" i="14" s="1"/>
  <c r="F19" i="14" a="1"/>
  <c r="F19" i="14" s="1"/>
  <c r="F20" i="14" a="1"/>
  <c r="F20" i="14"/>
  <c r="F21" i="14" a="1"/>
  <c r="F21" i="14" s="1"/>
  <c r="F22" i="14" a="1"/>
  <c r="F22" i="14" s="1"/>
  <c r="F23" i="14" a="1"/>
  <c r="F23" i="14"/>
  <c r="F24" i="14" a="1"/>
  <c r="F24" i="14" s="1"/>
  <c r="F25" i="14" a="1"/>
  <c r="F25" i="14" s="1"/>
  <c r="F26" i="14" a="1"/>
  <c r="F26" i="14"/>
  <c r="F27" i="14" a="1"/>
  <c r="F27" i="14" s="1"/>
  <c r="F28" i="14" a="1"/>
  <c r="F28" i="14" s="1"/>
  <c r="F29" i="14" a="1"/>
  <c r="F29" i="14" s="1"/>
  <c r="F30" i="14" a="1"/>
  <c r="F30" i="14" s="1"/>
  <c r="F31" i="14" a="1"/>
  <c r="F31" i="14" s="1"/>
  <c r="F32" i="14" a="1"/>
  <c r="F32" i="14" s="1"/>
  <c r="F33" i="14" a="1"/>
  <c r="F33" i="14" s="1"/>
  <c r="F34" i="14" a="1"/>
  <c r="F34" i="14" s="1"/>
  <c r="F35" i="14" a="1"/>
  <c r="F35" i="14"/>
  <c r="F36" i="14" a="1"/>
  <c r="F36" i="14" s="1"/>
  <c r="F37" i="14" a="1"/>
  <c r="F37" i="14" s="1"/>
  <c r="F38" i="14" a="1"/>
  <c r="F38" i="14" s="1"/>
  <c r="F39" i="14" a="1"/>
  <c r="F39" i="14" s="1"/>
  <c r="F40" i="14" a="1"/>
  <c r="F40" i="14" s="1"/>
  <c r="F41" i="14" a="1"/>
  <c r="F41" i="14"/>
  <c r="F42" i="14" a="1"/>
  <c r="F42" i="14" s="1"/>
  <c r="F43" i="14" a="1"/>
  <c r="F43" i="14" s="1"/>
  <c r="F44" i="14" a="1"/>
  <c r="F44" i="14"/>
  <c r="F45" i="14" a="1"/>
  <c r="F45" i="14" s="1"/>
  <c r="F46" i="14" a="1"/>
  <c r="F46" i="14" s="1"/>
  <c r="F47" i="14" a="1"/>
  <c r="F47" i="14"/>
  <c r="F48" i="14" a="1"/>
  <c r="F48" i="14" s="1"/>
  <c r="F49" i="14" a="1"/>
  <c r="F49" i="14" s="1"/>
  <c r="F50" i="14" a="1"/>
  <c r="F50" i="14"/>
  <c r="F51" i="14" a="1"/>
  <c r="F51" i="14" s="1"/>
  <c r="F52" i="14" a="1"/>
  <c r="F52" i="14" s="1"/>
  <c r="F53" i="14" a="1"/>
  <c r="F53" i="14" s="1"/>
  <c r="F54" i="14" a="1"/>
  <c r="F54" i="14" s="1"/>
  <c r="F55" i="14" a="1"/>
  <c r="F55" i="14" s="1"/>
  <c r="F56" i="14" a="1"/>
  <c r="F56" i="14"/>
  <c r="F57" i="14" a="1"/>
  <c r="F57" i="14" s="1"/>
  <c r="F58" i="14" a="1"/>
  <c r="F58" i="14" s="1"/>
  <c r="F59" i="14" a="1"/>
  <c r="F59" i="14"/>
  <c r="F60" i="14" a="1"/>
  <c r="F60" i="14" s="1"/>
  <c r="F61" i="14" a="1"/>
  <c r="F61" i="14" s="1"/>
  <c r="F62" i="14" a="1"/>
  <c r="F62" i="14" s="1"/>
  <c r="F63" i="14" a="1"/>
  <c r="F63" i="14" s="1"/>
  <c r="F64" i="14" a="1"/>
  <c r="F64" i="14" s="1"/>
  <c r="F65" i="14" a="1"/>
  <c r="F65" i="14"/>
  <c r="F66" i="14" a="1"/>
  <c r="F66" i="14" s="1"/>
  <c r="F67" i="14" a="1"/>
  <c r="F67" i="14" s="1"/>
  <c r="F68" i="14" a="1"/>
  <c r="F68" i="14" s="1"/>
  <c r="F69" i="14" a="1"/>
  <c r="F69" i="14" s="1"/>
  <c r="F70" i="14" a="1"/>
  <c r="F70" i="14" s="1"/>
  <c r="F71" i="14" a="1"/>
  <c r="F71" i="14" s="1"/>
  <c r="F72" i="14" a="1"/>
  <c r="F72" i="14" s="1"/>
  <c r="F73" i="14" a="1"/>
  <c r="F73" i="14" s="1"/>
  <c r="F74" i="14" a="1"/>
  <c r="F74" i="14" s="1"/>
  <c r="F75" i="14" a="1"/>
  <c r="F75" i="14" s="1"/>
  <c r="F76" i="14" a="1"/>
  <c r="F76" i="14" s="1"/>
  <c r="F77" i="14" a="1"/>
  <c r="F77" i="14" s="1"/>
  <c r="F78" i="14" a="1"/>
  <c r="F78" i="14" s="1"/>
  <c r="F79" i="14" a="1"/>
  <c r="F79" i="14" s="1"/>
  <c r="F80" i="14" a="1"/>
  <c r="F80" i="14"/>
  <c r="F81" i="14" a="1"/>
  <c r="F81" i="14" s="1"/>
  <c r="F82" i="14" a="1"/>
  <c r="F82" i="14" s="1"/>
  <c r="F83" i="14" a="1"/>
  <c r="F83" i="14" s="1"/>
  <c r="F84" i="14" a="1"/>
  <c r="F84" i="14" s="1"/>
  <c r="F85" i="14" a="1"/>
  <c r="F85" i="14" s="1"/>
  <c r="F86" i="14" a="1"/>
  <c r="F86" i="14"/>
  <c r="F87" i="14" a="1"/>
  <c r="F87" i="14" s="1"/>
  <c r="F88" i="14" a="1"/>
  <c r="F88" i="14" s="1"/>
  <c r="F89" i="14" a="1"/>
  <c r="F89" i="14" s="1"/>
  <c r="F90" i="14" a="1"/>
  <c r="F90" i="14" s="1"/>
  <c r="F91" i="14" a="1"/>
  <c r="F91" i="14" s="1"/>
  <c r="F92" i="14" a="1"/>
  <c r="F92" i="14"/>
  <c r="F93" i="14" a="1"/>
  <c r="F93" i="14" s="1"/>
  <c r="F94" i="14" a="1"/>
  <c r="F94" i="14" s="1"/>
  <c r="F95" i="14" a="1"/>
  <c r="F95" i="14"/>
  <c r="F96" i="14" a="1"/>
  <c r="F96" i="14" s="1"/>
  <c r="F97" i="14" a="1"/>
  <c r="F97" i="14" s="1"/>
  <c r="F98" i="14" a="1"/>
  <c r="F98" i="14"/>
  <c r="F99" i="14" a="1"/>
  <c r="F99" i="14" s="1"/>
  <c r="F100" i="14" a="1"/>
  <c r="F100" i="14" s="1"/>
  <c r="F101" i="14" a="1"/>
  <c r="F101" i="14"/>
  <c r="F102" i="14" a="1"/>
  <c r="F102" i="14" s="1"/>
  <c r="F103" i="14" a="1"/>
  <c r="F103" i="14" s="1"/>
  <c r="F104" i="14" a="1"/>
  <c r="F104" i="14"/>
  <c r="F105" i="14" a="1"/>
  <c r="F105" i="14" s="1"/>
  <c r="F106" i="14" a="1"/>
  <c r="F106" i="14" s="1"/>
  <c r="F107" i="14" a="1"/>
  <c r="F107" i="14"/>
  <c r="F108" i="14" a="1"/>
  <c r="F108" i="14" s="1"/>
  <c r="F109" i="14" a="1"/>
  <c r="F109" i="14" s="1"/>
  <c r="F110" i="14" a="1"/>
  <c r="F110" i="14"/>
  <c r="F111" i="14" a="1"/>
  <c r="F111" i="14" s="1"/>
  <c r="F112" i="14" a="1"/>
  <c r="F112" i="14" s="1"/>
  <c r="F113" i="14" a="1"/>
  <c r="F113" i="14"/>
  <c r="W305" i="1" l="1"/>
  <c r="T5" i="8" s="1"/>
  <c r="N305" i="1"/>
  <c r="K5" i="8" s="1"/>
  <c r="W103" i="1"/>
  <c r="T3" i="8" s="1"/>
  <c r="K305" i="1"/>
  <c r="H5" i="8" s="1"/>
  <c r="P305" i="1"/>
  <c r="M5" i="8" s="1"/>
  <c r="Q305" i="1"/>
  <c r="N5" i="8" s="1"/>
  <c r="G305" i="1"/>
  <c r="D5" i="8" s="1"/>
  <c r="C204" i="1"/>
  <c r="L305" i="1"/>
  <c r="I5" i="8" s="1"/>
  <c r="J204" i="1"/>
  <c r="G4" i="8" s="1"/>
  <c r="W204" i="1"/>
  <c r="T4" i="8" s="1"/>
  <c r="D305" i="1"/>
  <c r="C305" i="1"/>
  <c r="M305" i="1"/>
  <c r="J5" i="8" s="1"/>
  <c r="P204" i="1"/>
  <c r="M4" i="8" s="1"/>
  <c r="L103" i="1"/>
  <c r="I3" i="8" s="1"/>
  <c r="R103" i="1"/>
  <c r="O3" i="8" s="1"/>
  <c r="S305" i="1"/>
  <c r="P5" i="8" s="1"/>
  <c r="T305" i="1"/>
  <c r="Q5" i="8" s="1"/>
  <c r="U305" i="1"/>
  <c r="R5" i="8" s="1"/>
  <c r="V305" i="1"/>
  <c r="S5" i="8" s="1"/>
  <c r="O305" i="1"/>
  <c r="L5" i="8" s="1"/>
  <c r="E305" i="1"/>
  <c r="B5" i="8" s="1"/>
  <c r="F305" i="1"/>
  <c r="C5" i="8" s="1"/>
  <c r="H305" i="1"/>
  <c r="E5" i="8" s="1"/>
  <c r="J305" i="1"/>
  <c r="G5" i="8" s="1"/>
  <c r="I305" i="1"/>
  <c r="F5" i="8" s="1"/>
  <c r="Q204" i="1"/>
  <c r="N4" i="8" s="1"/>
  <c r="R204" i="1"/>
  <c r="O4" i="8" s="1"/>
  <c r="S204" i="1"/>
  <c r="P4" i="8" s="1"/>
  <c r="T204" i="1"/>
  <c r="Q4" i="8" s="1"/>
  <c r="U204" i="1"/>
  <c r="R4" i="8" s="1"/>
  <c r="V204" i="1"/>
  <c r="S4" i="8" s="1"/>
  <c r="K204" i="1"/>
  <c r="H4" i="8" s="1"/>
  <c r="L204" i="1"/>
  <c r="I4" i="8" s="1"/>
  <c r="M204" i="1"/>
  <c r="J4" i="8" s="1"/>
  <c r="N204" i="1"/>
  <c r="K4" i="8" s="1"/>
  <c r="O204" i="1"/>
  <c r="L4" i="8" s="1"/>
  <c r="D204" i="1"/>
  <c r="E204" i="1"/>
  <c r="B4" i="8" s="1"/>
  <c r="F204" i="1"/>
  <c r="C4" i="8" s="1"/>
  <c r="G204" i="1"/>
  <c r="D4" i="8" s="1"/>
  <c r="H204" i="1"/>
  <c r="E4" i="8" s="1"/>
  <c r="I204" i="1"/>
  <c r="F4" i="8" s="1"/>
  <c r="Q103" i="1"/>
  <c r="N3" i="8" s="1"/>
  <c r="V103" i="1"/>
  <c r="S3" i="8" s="1"/>
  <c r="U103" i="1"/>
  <c r="R3" i="8" s="1"/>
  <c r="T103" i="1"/>
  <c r="Q3" i="8" s="1"/>
  <c r="S103" i="1"/>
  <c r="P3" i="8" s="1"/>
  <c r="P103" i="1"/>
  <c r="M3" i="8" s="1"/>
  <c r="K103" i="1"/>
  <c r="H3" i="8" s="1"/>
  <c r="O103" i="1"/>
  <c r="L3" i="8" s="1"/>
  <c r="N103" i="1"/>
  <c r="K3" i="8" s="1"/>
  <c r="M103" i="1"/>
  <c r="J3" i="8" s="1"/>
  <c r="I103" i="1"/>
  <c r="F3" i="8" s="1"/>
  <c r="E103" i="1"/>
  <c r="B3" i="8" s="1"/>
  <c r="F103" i="1"/>
  <c r="C3" i="8" s="1"/>
  <c r="D103" i="1"/>
  <c r="J103" i="1"/>
  <c r="G3" i="8" s="1"/>
  <c r="C103" i="1"/>
  <c r="H103" i="1"/>
  <c r="E3" i="8" s="1"/>
  <c r="G103" i="1"/>
  <c r="D3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<sst xmlns="http://schemas.openxmlformats.org/spreadsheetml/2006/main" count="318" uniqueCount="31">
  <si>
    <t>Lp.</t>
  </si>
  <si>
    <r>
      <t>x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vertAlign val="superscript"/>
        <sz val="11"/>
        <color theme="1"/>
        <rFont val="Calibri"/>
        <family val="2"/>
        <charset val="238"/>
        <scheme val="minor"/>
      </rPr>
      <t>(0)</t>
    </r>
  </si>
  <si>
    <r>
      <t>x</t>
    </r>
    <r>
      <rPr>
        <vertAlign val="subscript"/>
        <sz val="11"/>
        <color theme="1"/>
        <rFont val="Calibri"/>
        <family val="2"/>
        <charset val="238"/>
        <scheme val="minor"/>
      </rPr>
      <t>2</t>
    </r>
    <r>
      <rPr>
        <vertAlign val="superscript"/>
        <sz val="11"/>
        <color theme="1"/>
        <rFont val="Calibri"/>
        <family val="2"/>
        <charset val="238"/>
        <scheme val="minor"/>
      </rPr>
      <t>(0)</t>
    </r>
  </si>
  <si>
    <r>
      <t>x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>*</t>
    </r>
  </si>
  <si>
    <r>
      <t>x</t>
    </r>
    <r>
      <rPr>
        <vertAlign val="sub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charset val="238"/>
        <scheme val="minor"/>
      </rPr>
      <t>*</t>
    </r>
  </si>
  <si>
    <t>y*</t>
  </si>
  <si>
    <t>Metoda najszybszego spadku</t>
  </si>
  <si>
    <t>Metoda gradientów sprzężonych</t>
  </si>
  <si>
    <t>Długość kroku</t>
  </si>
  <si>
    <t>f_calls</t>
  </si>
  <si>
    <t>g_calls</t>
  </si>
  <si>
    <t>Metoda Newtona</t>
  </si>
  <si>
    <t>H_calls</t>
  </si>
  <si>
    <t>M. zk.</t>
  </si>
  <si>
    <t>Nr iteracji</t>
  </si>
  <si>
    <r>
      <t>θ</t>
    </r>
    <r>
      <rPr>
        <vertAlign val="subscript"/>
        <sz val="11"/>
        <color theme="1"/>
        <rFont val="Calibri"/>
        <family val="2"/>
        <charset val="238"/>
        <scheme val="minor"/>
      </rPr>
      <t>0</t>
    </r>
    <r>
      <rPr>
        <sz val="11"/>
        <color theme="1"/>
        <rFont val="Calibri"/>
        <family val="2"/>
        <charset val="238"/>
        <scheme val="minor"/>
      </rPr>
      <t>*</t>
    </r>
  </si>
  <si>
    <r>
      <t>θ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>*</t>
    </r>
  </si>
  <si>
    <r>
      <t>θ</t>
    </r>
    <r>
      <rPr>
        <vertAlign val="sub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charset val="238"/>
        <scheme val="minor"/>
      </rPr>
      <t>*</t>
    </r>
  </si>
  <si>
    <t>J(θ*)</t>
  </si>
  <si>
    <t>P(θ*)</t>
  </si>
  <si>
    <t>Minimum globalne [TAK/NIE]</t>
  </si>
  <si>
    <t>Liczba minimów globalnych</t>
  </si>
  <si>
    <t>nan</t>
  </si>
  <si>
    <t>inf</t>
  </si>
  <si>
    <t>x1</t>
  </si>
  <si>
    <t>x2</t>
  </si>
  <si>
    <t>phi_1</t>
  </si>
  <si>
    <t>phi_2</t>
  </si>
  <si>
    <t>phi_0</t>
  </si>
  <si>
    <t>średnia</t>
  </si>
  <si>
    <t>Nmax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</si>
</sst>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vertAlign val="superscript"/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1" xfId="0" applyBorder="1"/>
    <xf numFmtId="0" fontId="0" fillId="0" borderId="6" xfId="0" applyBorder="1"/>
    <xf numFmtId="0" fontId="0" fillId="0" borderId="11" xfId="0" applyBorder="1"/>
    <xf numFmtId="0" fontId="0" fillId="0" borderId="12" xfId="0" applyBorder="1"/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5" xfId="0" applyBorder="1"/>
    <xf numFmtId="0" fontId="0" fillId="0" borderId="16" xfId="0" applyBorder="1"/>
    <xf numFmtId="0" fontId="0" fillId="0" borderId="19" xfId="0" applyBorder="1"/>
    <xf numFmtId="0" fontId="0" fillId="0" borderId="20" xfId="0" applyBorder="1"/>
    <xf numFmtId="0" fontId="0" fillId="0" borderId="10" xfId="0" applyBorder="1"/>
    <xf numFmtId="0" fontId="0" fillId="0" borderId="5" xfId="0" applyBorder="1"/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6" xfId="0" applyBorder="1"/>
    <xf numFmtId="0" fontId="0" fillId="0" borderId="30" xfId="0" applyBorder="1"/>
    <xf numFmtId="0" fontId="0" fillId="0" borderId="14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2" borderId="43" xfId="0" applyFill="1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0" fontId="0" fillId="2" borderId="45" xfId="0" applyFill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2" borderId="46" xfId="0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3" borderId="9" xfId="0" applyFill="1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2" borderId="46" xfId="0" applyFill="1" applyBorder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Krok</a:t>
            </a:r>
            <a:r>
              <a:rPr lang="en-GB" baseline="0"/>
              <a:t> = 0.05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Wykresy!$B$4:$B$63</c:f>
              <c:numCache>
                <c:formatCode>General</c:formatCode>
                <c:ptCount val="60"/>
                <c:pt idx="0">
                  <c:v>2</c:v>
                </c:pt>
                <c:pt idx="1">
                  <c:v>1.58</c:v>
                </c:pt>
                <c:pt idx="2">
                  <c:v>1.5149760000000001</c:v>
                </c:pt>
                <c:pt idx="3">
                  <c:v>1.470599</c:v>
                </c:pt>
                <c:pt idx="4">
                  <c:v>1.43895</c:v>
                </c:pt>
                <c:pt idx="5">
                  <c:v>1.416706</c:v>
                </c:pt>
                <c:pt idx="6">
                  <c:v>1.4022209999999999</c:v>
                </c:pt>
                <c:pt idx="7">
                  <c:v>1.39463</c:v>
                </c:pt>
                <c:pt idx="8">
                  <c:v>1.3934770000000001</c:v>
                </c:pt>
                <c:pt idx="9">
                  <c:v>1.3985240000000001</c:v>
                </c:pt>
                <c:pt idx="10">
                  <c:v>1.4096280000000001</c:v>
                </c:pt>
                <c:pt idx="11">
                  <c:v>1.4266209999999999</c:v>
                </c:pt>
                <c:pt idx="12">
                  <c:v>1.4491860000000001</c:v>
                </c:pt>
                <c:pt idx="13">
                  <c:v>1.476718</c:v>
                </c:pt>
                <c:pt idx="14">
                  <c:v>1.5081739999999999</c:v>
                </c:pt>
                <c:pt idx="15">
                  <c:v>1.5419830000000001</c:v>
                </c:pt>
                <c:pt idx="16">
                  <c:v>1.5760879999999999</c:v>
                </c:pt>
                <c:pt idx="17">
                  <c:v>1.6082259999999999</c:v>
                </c:pt>
                <c:pt idx="18">
                  <c:v>1.6364179999999999</c:v>
                </c:pt>
                <c:pt idx="19">
                  <c:v>1.6594850000000001</c:v>
                </c:pt>
                <c:pt idx="20">
                  <c:v>1.6772769999999999</c:v>
                </c:pt>
                <c:pt idx="21">
                  <c:v>1.6904699999999999</c:v>
                </c:pt>
                <c:pt idx="22">
                  <c:v>1.7001189999999999</c:v>
                </c:pt>
                <c:pt idx="23">
                  <c:v>1.7072579999999999</c:v>
                </c:pt>
                <c:pt idx="24">
                  <c:v>1.712699</c:v>
                </c:pt>
                <c:pt idx="25">
                  <c:v>1.7170019999999999</c:v>
                </c:pt>
                <c:pt idx="26">
                  <c:v>1.720529</c:v>
                </c:pt>
                <c:pt idx="27">
                  <c:v>1.7235050000000001</c:v>
                </c:pt>
                <c:pt idx="28">
                  <c:v>1.7260679999999999</c:v>
                </c:pt>
                <c:pt idx="29">
                  <c:v>1.728307</c:v>
                </c:pt>
                <c:pt idx="30">
                  <c:v>1.7302820000000001</c:v>
                </c:pt>
                <c:pt idx="31">
                  <c:v>1.7320340000000001</c:v>
                </c:pt>
                <c:pt idx="32">
                  <c:v>1.7335940000000001</c:v>
                </c:pt>
                <c:pt idx="33">
                  <c:v>1.734988</c:v>
                </c:pt>
                <c:pt idx="34">
                  <c:v>1.7362359999999999</c:v>
                </c:pt>
                <c:pt idx="35">
                  <c:v>1.7373540000000001</c:v>
                </c:pt>
                <c:pt idx="36">
                  <c:v>1.7383580000000001</c:v>
                </c:pt>
                <c:pt idx="37">
                  <c:v>1.7392590000000001</c:v>
                </c:pt>
                <c:pt idx="38">
                  <c:v>1.74007</c:v>
                </c:pt>
                <c:pt idx="39">
                  <c:v>1.740799</c:v>
                </c:pt>
                <c:pt idx="40">
                  <c:v>1.7414559999999999</c:v>
                </c:pt>
                <c:pt idx="41">
                  <c:v>1.7420469999999999</c:v>
                </c:pt>
                <c:pt idx="42">
                  <c:v>1.74258</c:v>
                </c:pt>
                <c:pt idx="43">
                  <c:v>1.743061</c:v>
                </c:pt>
                <c:pt idx="44">
                  <c:v>1.7434940000000001</c:v>
                </c:pt>
                <c:pt idx="45">
                  <c:v>1.7438849999999999</c:v>
                </c:pt>
                <c:pt idx="46">
                  <c:v>1.744238</c:v>
                </c:pt>
                <c:pt idx="47">
                  <c:v>1.7445569999999999</c:v>
                </c:pt>
                <c:pt idx="48">
                  <c:v>1.7448440000000001</c:v>
                </c:pt>
                <c:pt idx="49">
                  <c:v>1.745104</c:v>
                </c:pt>
                <c:pt idx="50">
                  <c:v>1.745339</c:v>
                </c:pt>
                <c:pt idx="51">
                  <c:v>1.7455510000000001</c:v>
                </c:pt>
                <c:pt idx="52">
                  <c:v>1.7457419999999999</c:v>
                </c:pt>
                <c:pt idx="53">
                  <c:v>1.745916</c:v>
                </c:pt>
                <c:pt idx="54">
                  <c:v>1.7460720000000001</c:v>
                </c:pt>
                <c:pt idx="55">
                  <c:v>1.7462139999999999</c:v>
                </c:pt>
                <c:pt idx="56">
                  <c:v>1.7463409999999999</c:v>
                </c:pt>
                <c:pt idx="57">
                  <c:v>1.7464569999999999</c:v>
                </c:pt>
                <c:pt idx="58">
                  <c:v>1.7465619999999999</c:v>
                </c:pt>
                <c:pt idx="59">
                  <c:v>1.746656</c:v>
                </c:pt>
              </c:numCache>
            </c:numRef>
          </c:xVal>
          <c:yVal>
            <c:numRef>
              <c:f>Wykresy!$C$4:$C$63</c:f>
              <c:numCache>
                <c:formatCode>General</c:formatCode>
                <c:ptCount val="60"/>
                <c:pt idx="0">
                  <c:v>2</c:v>
                </c:pt>
                <c:pt idx="1">
                  <c:v>1.7</c:v>
                </c:pt>
                <c:pt idx="2">
                  <c:v>1.4510000000000001</c:v>
                </c:pt>
                <c:pt idx="3">
                  <c:v>1.230151</c:v>
                </c:pt>
                <c:pt idx="4">
                  <c:v>1.033606</c:v>
                </c:pt>
                <c:pt idx="5">
                  <c:v>0.85829800000000001</c:v>
                </c:pt>
                <c:pt idx="6">
                  <c:v>0.70163299999999995</c:v>
                </c:pt>
                <c:pt idx="7">
                  <c:v>0.56135900000000005</c:v>
                </c:pt>
                <c:pt idx="8">
                  <c:v>0.43549100000000002</c:v>
                </c:pt>
                <c:pt idx="9">
                  <c:v>0.322268</c:v>
                </c:pt>
                <c:pt idx="10">
                  <c:v>0.22011500000000001</c:v>
                </c:pt>
                <c:pt idx="11">
                  <c:v>0.12762200000000001</c:v>
                </c:pt>
                <c:pt idx="12">
                  <c:v>4.3528999999999998E-2</c:v>
                </c:pt>
                <c:pt idx="13">
                  <c:v>-3.3283E-2</c:v>
                </c:pt>
                <c:pt idx="14">
                  <c:v>-0.10379099999999999</c:v>
                </c:pt>
                <c:pt idx="15">
                  <c:v>-0.16882</c:v>
                </c:pt>
                <c:pt idx="16">
                  <c:v>-0.22903699999999999</c:v>
                </c:pt>
                <c:pt idx="17">
                  <c:v>-0.28493800000000002</c:v>
                </c:pt>
                <c:pt idx="18">
                  <c:v>-0.33685599999999999</c:v>
                </c:pt>
                <c:pt idx="19">
                  <c:v>-0.38499100000000003</c:v>
                </c:pt>
                <c:pt idx="20">
                  <c:v>-0.42946600000000001</c:v>
                </c:pt>
                <c:pt idx="21">
                  <c:v>-0.470383</c:v>
                </c:pt>
                <c:pt idx="22">
                  <c:v>-0.50786900000000001</c:v>
                </c:pt>
                <c:pt idx="23">
                  <c:v>-0.54208800000000001</c:v>
                </c:pt>
                <c:pt idx="24">
                  <c:v>-0.57324200000000003</c:v>
                </c:pt>
                <c:pt idx="25">
                  <c:v>-0.601553</c:v>
                </c:pt>
                <c:pt idx="26">
                  <c:v>-0.627247</c:v>
                </c:pt>
                <c:pt idx="27">
                  <c:v>-0.65054900000000004</c:v>
                </c:pt>
                <c:pt idx="28">
                  <c:v>-0.67166899999999996</c:v>
                </c:pt>
                <c:pt idx="29">
                  <c:v>-0.69080600000000003</c:v>
                </c:pt>
                <c:pt idx="30">
                  <c:v>-0.70814100000000002</c:v>
                </c:pt>
                <c:pt idx="31">
                  <c:v>-0.72384099999999996</c:v>
                </c:pt>
                <c:pt idx="32">
                  <c:v>-0.73805799999999999</c:v>
                </c:pt>
                <c:pt idx="33">
                  <c:v>-0.75093200000000004</c:v>
                </c:pt>
                <c:pt idx="34">
                  <c:v>-0.76258800000000004</c:v>
                </c:pt>
                <c:pt idx="35">
                  <c:v>-0.77314099999999997</c:v>
                </c:pt>
                <c:pt idx="36">
                  <c:v>-0.78269500000000003</c:v>
                </c:pt>
                <c:pt idx="37">
                  <c:v>-0.79134300000000002</c:v>
                </c:pt>
                <c:pt idx="38">
                  <c:v>-0.79917199999999999</c:v>
                </c:pt>
                <c:pt idx="39">
                  <c:v>-0.80625800000000003</c:v>
                </c:pt>
                <c:pt idx="40">
                  <c:v>-0.81267199999999995</c:v>
                </c:pt>
                <c:pt idx="41">
                  <c:v>-0.81847800000000004</c:v>
                </c:pt>
                <c:pt idx="42">
                  <c:v>-0.82373200000000002</c:v>
                </c:pt>
                <c:pt idx="43">
                  <c:v>-0.828488</c:v>
                </c:pt>
                <c:pt idx="44">
                  <c:v>-0.83279199999999998</c:v>
                </c:pt>
                <c:pt idx="45">
                  <c:v>-0.83668799999999999</c:v>
                </c:pt>
                <c:pt idx="46">
                  <c:v>-0.84021299999999999</c:v>
                </c:pt>
                <c:pt idx="47">
                  <c:v>-0.84340400000000004</c:v>
                </c:pt>
                <c:pt idx="48">
                  <c:v>-0.84629100000000002</c:v>
                </c:pt>
                <c:pt idx="49">
                  <c:v>-0.84890399999999999</c:v>
                </c:pt>
                <c:pt idx="50">
                  <c:v>-0.85126900000000005</c:v>
                </c:pt>
                <c:pt idx="51">
                  <c:v>-0.85340899999999997</c:v>
                </c:pt>
                <c:pt idx="52">
                  <c:v>-0.85534600000000005</c:v>
                </c:pt>
                <c:pt idx="53">
                  <c:v>-0.85709800000000003</c:v>
                </c:pt>
                <c:pt idx="54">
                  <c:v>-0.858684</c:v>
                </c:pt>
                <c:pt idx="55">
                  <c:v>-0.86012</c:v>
                </c:pt>
                <c:pt idx="56">
                  <c:v>-0.86141800000000002</c:v>
                </c:pt>
                <c:pt idx="57">
                  <c:v>-0.86259300000000005</c:v>
                </c:pt>
                <c:pt idx="58">
                  <c:v>-0.86365700000000001</c:v>
                </c:pt>
                <c:pt idx="59">
                  <c:v>-0.86461900000000003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D6B-4E9F-829A-BD220D83924F}"/>
            </c:ext>
          </c:extLst>
        </c:ser>
        <c:ser>
          <c:idx val="1"/>
          <c:order val="1"/>
          <c:tx>
            <c:v>CG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Wykresy!$H$4:$H$63</c:f>
              <c:numCache>
                <c:formatCode>General</c:formatCode>
                <c:ptCount val="60"/>
                <c:pt idx="0">
                  <c:v>2</c:v>
                </c:pt>
                <c:pt idx="1">
                  <c:v>1.58</c:v>
                </c:pt>
                <c:pt idx="2">
                  <c:v>1.410561</c:v>
                </c:pt>
                <c:pt idx="3">
                  <c:v>1.2546809999999999</c:v>
                </c:pt>
                <c:pt idx="4">
                  <c:v>1.124342</c:v>
                </c:pt>
                <c:pt idx="5">
                  <c:v>1.0117670000000001</c:v>
                </c:pt>
                <c:pt idx="6">
                  <c:v>0.90291600000000005</c:v>
                </c:pt>
                <c:pt idx="7">
                  <c:v>0.78082799999999997</c:v>
                </c:pt>
                <c:pt idx="8">
                  <c:v>0.62366299999999997</c:v>
                </c:pt>
                <c:pt idx="9">
                  <c:v>0.41953400000000002</c:v>
                </c:pt>
                <c:pt idx="10">
                  <c:v>0.20857700000000001</c:v>
                </c:pt>
                <c:pt idx="11">
                  <c:v>-1.6990999999999999E-2</c:v>
                </c:pt>
                <c:pt idx="12">
                  <c:v>-0.45032299999999997</c:v>
                </c:pt>
                <c:pt idx="13">
                  <c:v>-1.728939</c:v>
                </c:pt>
                <c:pt idx="14">
                  <c:v>-3.414193</c:v>
                </c:pt>
                <c:pt idx="15">
                  <c:v>-14856.973575</c:v>
                </c:pt>
              </c:numCache>
            </c:numRef>
          </c:xVal>
          <c:yVal>
            <c:numRef>
              <c:f>Wykresy!$I$4:$I$63</c:f>
              <c:numCache>
                <c:formatCode>General</c:formatCode>
                <c:ptCount val="60"/>
                <c:pt idx="0">
                  <c:v>2</c:v>
                </c:pt>
                <c:pt idx="1">
                  <c:v>1.7</c:v>
                </c:pt>
                <c:pt idx="2">
                  <c:v>1.3764179999999999</c:v>
                </c:pt>
                <c:pt idx="3">
                  <c:v>0.94840500000000005</c:v>
                </c:pt>
                <c:pt idx="4">
                  <c:v>0.54014600000000002</c:v>
                </c:pt>
                <c:pt idx="5">
                  <c:v>0.21272199999999999</c:v>
                </c:pt>
                <c:pt idx="6">
                  <c:v>-3.4669999999999999E-2</c:v>
                </c:pt>
                <c:pt idx="7">
                  <c:v>-0.23047500000000001</c:v>
                </c:pt>
                <c:pt idx="8">
                  <c:v>-0.40361799999999998</c:v>
                </c:pt>
                <c:pt idx="9">
                  <c:v>-0.55506100000000003</c:v>
                </c:pt>
                <c:pt idx="10">
                  <c:v>-0.64640299999999995</c:v>
                </c:pt>
                <c:pt idx="11">
                  <c:v>-0.686608</c:v>
                </c:pt>
                <c:pt idx="12">
                  <c:v>-0.70106000000000002</c:v>
                </c:pt>
                <c:pt idx="13">
                  <c:v>-0.65464299999999997</c:v>
                </c:pt>
                <c:pt idx="14">
                  <c:v>-0.43917</c:v>
                </c:pt>
                <c:pt idx="15">
                  <c:v>1900.905342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D6B-4E9F-829A-BD220D83924F}"/>
            </c:ext>
          </c:extLst>
        </c:ser>
        <c:ser>
          <c:idx val="2"/>
          <c:order val="2"/>
          <c:tx>
            <c:v>Newton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Wykresy!$N$4:$N$102</c:f>
              <c:numCache>
                <c:formatCode>General</c:formatCode>
                <c:ptCount val="99"/>
                <c:pt idx="0">
                  <c:v>2</c:v>
                </c:pt>
                <c:pt idx="1">
                  <c:v>1.991843</c:v>
                </c:pt>
                <c:pt idx="2">
                  <c:v>1.9838750000000001</c:v>
                </c:pt>
                <c:pt idx="3">
                  <c:v>1.976094</c:v>
                </c:pt>
                <c:pt idx="4">
                  <c:v>1.9684980000000001</c:v>
                </c:pt>
                <c:pt idx="5">
                  <c:v>1.9610860000000001</c:v>
                </c:pt>
                <c:pt idx="6">
                  <c:v>1.953856</c:v>
                </c:pt>
                <c:pt idx="7">
                  <c:v>1.9468049999999999</c:v>
                </c:pt>
                <c:pt idx="8">
                  <c:v>1.9399329999999999</c:v>
                </c:pt>
                <c:pt idx="9">
                  <c:v>1.9332370000000001</c:v>
                </c:pt>
                <c:pt idx="10">
                  <c:v>1.926715</c:v>
                </c:pt>
                <c:pt idx="11">
                  <c:v>1.920366</c:v>
                </c:pt>
                <c:pt idx="12">
                  <c:v>1.9141859999999999</c:v>
                </c:pt>
                <c:pt idx="13">
                  <c:v>1.908174</c:v>
                </c:pt>
                <c:pt idx="14">
                  <c:v>1.902328</c:v>
                </c:pt>
                <c:pt idx="15">
                  <c:v>1.8966460000000001</c:v>
                </c:pt>
                <c:pt idx="16">
                  <c:v>1.8911249999999999</c:v>
                </c:pt>
                <c:pt idx="17">
                  <c:v>1.8857630000000001</c:v>
                </c:pt>
                <c:pt idx="18">
                  <c:v>1.880558</c:v>
                </c:pt>
                <c:pt idx="19">
                  <c:v>1.875507</c:v>
                </c:pt>
                <c:pt idx="20">
                  <c:v>1.870608</c:v>
                </c:pt>
                <c:pt idx="21">
                  <c:v>1.865858</c:v>
                </c:pt>
                <c:pt idx="22">
                  <c:v>1.861256</c:v>
                </c:pt>
                <c:pt idx="23">
                  <c:v>1.856797</c:v>
                </c:pt>
                <c:pt idx="24">
                  <c:v>1.852481</c:v>
                </c:pt>
                <c:pt idx="25">
                  <c:v>1.848303</c:v>
                </c:pt>
                <c:pt idx="26">
                  <c:v>1.8442620000000001</c:v>
                </c:pt>
                <c:pt idx="27">
                  <c:v>1.840355</c:v>
                </c:pt>
                <c:pt idx="28">
                  <c:v>1.836578</c:v>
                </c:pt>
                <c:pt idx="29">
                  <c:v>1.8329299999999999</c:v>
                </c:pt>
                <c:pt idx="30">
                  <c:v>1.8294079999999999</c:v>
                </c:pt>
                <c:pt idx="31">
                  <c:v>1.8260080000000001</c:v>
                </c:pt>
                <c:pt idx="32">
                  <c:v>1.822727</c:v>
                </c:pt>
                <c:pt idx="33">
                  <c:v>1.819564</c:v>
                </c:pt>
                <c:pt idx="34">
                  <c:v>1.8165150000000001</c:v>
                </c:pt>
                <c:pt idx="35">
                  <c:v>1.813577</c:v>
                </c:pt>
                <c:pt idx="36">
                  <c:v>1.8107470000000001</c:v>
                </c:pt>
                <c:pt idx="37">
                  <c:v>1.8080229999999999</c:v>
                </c:pt>
                <c:pt idx="38">
                  <c:v>1.805402</c:v>
                </c:pt>
                <c:pt idx="39">
                  <c:v>1.80288</c:v>
                </c:pt>
                <c:pt idx="40">
                  <c:v>1.8004560000000001</c:v>
                </c:pt>
                <c:pt idx="41">
                  <c:v>1.7981259999999999</c:v>
                </c:pt>
                <c:pt idx="42">
                  <c:v>1.795887</c:v>
                </c:pt>
                <c:pt idx="43">
                  <c:v>1.7937369999999999</c:v>
                </c:pt>
                <c:pt idx="44">
                  <c:v>1.7916730000000001</c:v>
                </c:pt>
                <c:pt idx="45">
                  <c:v>1.7896920000000001</c:v>
                </c:pt>
                <c:pt idx="46">
                  <c:v>1.787792</c:v>
                </c:pt>
                <c:pt idx="47">
                  <c:v>1.7859700000000001</c:v>
                </c:pt>
                <c:pt idx="48">
                  <c:v>1.7842229999999999</c:v>
                </c:pt>
                <c:pt idx="49">
                  <c:v>1.7825489999999999</c:v>
                </c:pt>
                <c:pt idx="50">
                  <c:v>1.780945</c:v>
                </c:pt>
                <c:pt idx="51">
                  <c:v>1.779409</c:v>
                </c:pt>
                <c:pt idx="52">
                  <c:v>1.777938</c:v>
                </c:pt>
                <c:pt idx="53">
                  <c:v>1.7765299999999999</c:v>
                </c:pt>
                <c:pt idx="54">
                  <c:v>1.775183</c:v>
                </c:pt>
                <c:pt idx="55">
                  <c:v>1.773895</c:v>
                </c:pt>
                <c:pt idx="56">
                  <c:v>1.7726630000000001</c:v>
                </c:pt>
                <c:pt idx="57">
                  <c:v>1.771485</c:v>
                </c:pt>
                <c:pt idx="58">
                  <c:v>1.770359</c:v>
                </c:pt>
                <c:pt idx="59">
                  <c:v>1.7692829999999999</c:v>
                </c:pt>
                <c:pt idx="60">
                  <c:v>1.768256</c:v>
                </c:pt>
                <c:pt idx="61">
                  <c:v>1.767274</c:v>
                </c:pt>
                <c:pt idx="62">
                  <c:v>1.766337</c:v>
                </c:pt>
                <c:pt idx="63">
                  <c:v>1.765442</c:v>
                </c:pt>
                <c:pt idx="64">
                  <c:v>1.764588</c:v>
                </c:pt>
                <c:pt idx="65">
                  <c:v>1.763773</c:v>
                </c:pt>
                <c:pt idx="66">
                  <c:v>1.7629950000000001</c:v>
                </c:pt>
                <c:pt idx="67">
                  <c:v>1.7622530000000001</c:v>
                </c:pt>
                <c:pt idx="68">
                  <c:v>1.7615460000000001</c:v>
                </c:pt>
                <c:pt idx="69">
                  <c:v>1.7608710000000001</c:v>
                </c:pt>
                <c:pt idx="70">
                  <c:v>1.7602279999999999</c:v>
                </c:pt>
                <c:pt idx="71">
                  <c:v>1.7596149999999999</c:v>
                </c:pt>
                <c:pt idx="72">
                  <c:v>1.7590300000000001</c:v>
                </c:pt>
                <c:pt idx="73">
                  <c:v>1.7584740000000001</c:v>
                </c:pt>
                <c:pt idx="74">
                  <c:v>1.757943</c:v>
                </c:pt>
                <c:pt idx="75">
                  <c:v>1.7574369999999999</c:v>
                </c:pt>
                <c:pt idx="76">
                  <c:v>1.756956</c:v>
                </c:pt>
                <c:pt idx="77">
                  <c:v>1.756497</c:v>
                </c:pt>
                <c:pt idx="78">
                  <c:v>1.75606</c:v>
                </c:pt>
                <c:pt idx="79">
                  <c:v>1.755644</c:v>
                </c:pt>
                <c:pt idx="80">
                  <c:v>1.7552479999999999</c:v>
                </c:pt>
                <c:pt idx="81">
                  <c:v>1.7548710000000001</c:v>
                </c:pt>
                <c:pt idx="82">
                  <c:v>1.7545120000000001</c:v>
                </c:pt>
                <c:pt idx="83">
                  <c:v>1.7541709999999999</c:v>
                </c:pt>
                <c:pt idx="84">
                  <c:v>1.753846</c:v>
                </c:pt>
                <c:pt idx="85">
                  <c:v>1.753536</c:v>
                </c:pt>
                <c:pt idx="86">
                  <c:v>1.753242</c:v>
                </c:pt>
                <c:pt idx="87">
                  <c:v>1.752961</c:v>
                </c:pt>
                <c:pt idx="88">
                  <c:v>1.7526949999999999</c:v>
                </c:pt>
                <c:pt idx="89">
                  <c:v>1.7524409999999999</c:v>
                </c:pt>
                <c:pt idx="90">
                  <c:v>1.7522</c:v>
                </c:pt>
                <c:pt idx="91">
                  <c:v>1.75197</c:v>
                </c:pt>
                <c:pt idx="92">
                  <c:v>1.751752</c:v>
                </c:pt>
                <c:pt idx="93">
                  <c:v>1.751544</c:v>
                </c:pt>
                <c:pt idx="94">
                  <c:v>1.751347</c:v>
                </c:pt>
                <c:pt idx="95">
                  <c:v>1.7511589999999999</c:v>
                </c:pt>
                <c:pt idx="96">
                  <c:v>1.75098</c:v>
                </c:pt>
                <c:pt idx="97">
                  <c:v>1.7508109999999999</c:v>
                </c:pt>
                <c:pt idx="98">
                  <c:v>1.7506489999999999</c:v>
                </c:pt>
              </c:numCache>
            </c:numRef>
          </c:xVal>
          <c:yVal>
            <c:numRef>
              <c:f>Wykresy!$O$4:$O$102</c:f>
              <c:numCache>
                <c:formatCode>General</c:formatCode>
                <c:ptCount val="99"/>
                <c:pt idx="0">
                  <c:v>2</c:v>
                </c:pt>
                <c:pt idx="1">
                  <c:v>1.854079</c:v>
                </c:pt>
                <c:pt idx="2">
                  <c:v>1.7155629999999999</c:v>
                </c:pt>
                <c:pt idx="3">
                  <c:v>1.5840780000000001</c:v>
                </c:pt>
                <c:pt idx="4">
                  <c:v>1.4592700000000001</c:v>
                </c:pt>
                <c:pt idx="5">
                  <c:v>1.3408</c:v>
                </c:pt>
                <c:pt idx="6">
                  <c:v>1.228348</c:v>
                </c:pt>
                <c:pt idx="7">
                  <c:v>1.1216090000000001</c:v>
                </c:pt>
                <c:pt idx="8">
                  <c:v>1.020295</c:v>
                </c:pt>
                <c:pt idx="9">
                  <c:v>0.92413000000000001</c:v>
                </c:pt>
                <c:pt idx="10">
                  <c:v>0.83285299999999995</c:v>
                </c:pt>
                <c:pt idx="11">
                  <c:v>0.74621700000000002</c:v>
                </c:pt>
                <c:pt idx="12">
                  <c:v>0.66398699999999999</c:v>
                </c:pt>
                <c:pt idx="13">
                  <c:v>0.58593899999999999</c:v>
                </c:pt>
                <c:pt idx="14">
                  <c:v>0.51186100000000001</c:v>
                </c:pt>
                <c:pt idx="15">
                  <c:v>0.44155100000000003</c:v>
                </c:pt>
                <c:pt idx="16">
                  <c:v>0.37481799999999998</c:v>
                </c:pt>
                <c:pt idx="17">
                  <c:v>0.31147900000000001</c:v>
                </c:pt>
                <c:pt idx="18">
                  <c:v>0.25136399999999998</c:v>
                </c:pt>
                <c:pt idx="19">
                  <c:v>0.19430700000000001</c:v>
                </c:pt>
                <c:pt idx="20">
                  <c:v>0.140154</c:v>
                </c:pt>
                <c:pt idx="21">
                  <c:v>8.8756000000000002E-2</c:v>
                </c:pt>
                <c:pt idx="22">
                  <c:v>3.9973000000000002E-2</c:v>
                </c:pt>
                <c:pt idx="23">
                  <c:v>-6.3280000000000003E-3</c:v>
                </c:pt>
                <c:pt idx="24">
                  <c:v>-5.0272999999999998E-2</c:v>
                </c:pt>
                <c:pt idx="25">
                  <c:v>-9.1982999999999995E-2</c:v>
                </c:pt>
                <c:pt idx="26">
                  <c:v>-0.13157099999999999</c:v>
                </c:pt>
                <c:pt idx="27">
                  <c:v>-0.16914499999999999</c:v>
                </c:pt>
                <c:pt idx="28">
                  <c:v>-0.20480899999999999</c:v>
                </c:pt>
                <c:pt idx="29">
                  <c:v>-0.23865900000000001</c:v>
                </c:pt>
                <c:pt idx="30">
                  <c:v>-0.27078799999999997</c:v>
                </c:pt>
                <c:pt idx="31">
                  <c:v>-0.30128300000000002</c:v>
                </c:pt>
                <c:pt idx="32">
                  <c:v>-0.33022899999999999</c:v>
                </c:pt>
                <c:pt idx="33">
                  <c:v>-0.35770400000000002</c:v>
                </c:pt>
                <c:pt idx="34">
                  <c:v>-0.38378299999999999</c:v>
                </c:pt>
                <c:pt idx="35">
                  <c:v>-0.40853800000000001</c:v>
                </c:pt>
                <c:pt idx="36">
                  <c:v>-0.43203599999999998</c:v>
                </c:pt>
                <c:pt idx="37">
                  <c:v>-0.45434099999999999</c:v>
                </c:pt>
                <c:pt idx="38">
                  <c:v>-0.47551399999999999</c:v>
                </c:pt>
                <c:pt idx="39">
                  <c:v>-0.495612</c:v>
                </c:pt>
                <c:pt idx="40">
                  <c:v>-0.51469200000000004</c:v>
                </c:pt>
                <c:pt idx="41">
                  <c:v>-0.53280300000000003</c:v>
                </c:pt>
                <c:pt idx="42">
                  <c:v>-0.54999699999999996</c:v>
                </c:pt>
                <c:pt idx="43">
                  <c:v>-0.56631900000000002</c:v>
                </c:pt>
                <c:pt idx="44">
                  <c:v>-0.58181499999999997</c:v>
                </c:pt>
                <c:pt idx="45">
                  <c:v>-0.59652499999999997</c:v>
                </c:pt>
                <c:pt idx="46">
                  <c:v>-0.61049100000000001</c:v>
                </c:pt>
                <c:pt idx="47">
                  <c:v>-0.62375000000000003</c:v>
                </c:pt>
                <c:pt idx="48">
                  <c:v>-0.63633899999999999</c:v>
                </c:pt>
                <c:pt idx="49">
                  <c:v>-0.64829000000000003</c:v>
                </c:pt>
                <c:pt idx="50">
                  <c:v>-0.65963700000000003</c:v>
                </c:pt>
                <c:pt idx="51">
                  <c:v>-0.67041099999999998</c:v>
                </c:pt>
                <c:pt idx="52">
                  <c:v>-0.68064000000000002</c:v>
                </c:pt>
                <c:pt idx="53">
                  <c:v>-0.69035299999999999</c:v>
                </c:pt>
                <c:pt idx="54">
                  <c:v>-0.69957499999999995</c:v>
                </c:pt>
                <c:pt idx="55">
                  <c:v>-0.70833199999999996</c:v>
                </c:pt>
                <c:pt idx="56">
                  <c:v>-0.71664700000000003</c:v>
                </c:pt>
                <c:pt idx="57">
                  <c:v>-0.72454200000000002</c:v>
                </c:pt>
                <c:pt idx="58">
                  <c:v>-0.732039</c:v>
                </c:pt>
                <c:pt idx="59">
                  <c:v>-0.73915799999999998</c:v>
                </c:pt>
                <c:pt idx="60">
                  <c:v>-0.74591799999999997</c:v>
                </c:pt>
                <c:pt idx="61">
                  <c:v>-0.75233799999999995</c:v>
                </c:pt>
                <c:pt idx="62">
                  <c:v>-0.75843400000000005</c:v>
                </c:pt>
                <c:pt idx="63">
                  <c:v>-0.76422400000000001</c:v>
                </c:pt>
                <c:pt idx="64">
                  <c:v>-0.76972099999999999</c:v>
                </c:pt>
                <c:pt idx="65">
                  <c:v>-0.77494300000000005</c:v>
                </c:pt>
                <c:pt idx="66">
                  <c:v>-0.77990099999999996</c:v>
                </c:pt>
                <c:pt idx="67">
                  <c:v>-0.78461000000000003</c:v>
                </c:pt>
                <c:pt idx="68">
                  <c:v>-0.78908199999999995</c:v>
                </c:pt>
                <c:pt idx="69">
                  <c:v>-0.79332899999999995</c:v>
                </c:pt>
                <c:pt idx="70">
                  <c:v>-0.79736300000000004</c:v>
                </c:pt>
                <c:pt idx="71">
                  <c:v>-0.80119399999999996</c:v>
                </c:pt>
                <c:pt idx="72">
                  <c:v>-0.80483199999999999</c:v>
                </c:pt>
                <c:pt idx="73">
                  <c:v>-0.80828800000000001</c:v>
                </c:pt>
                <c:pt idx="74">
                  <c:v>-0.81157000000000001</c:v>
                </c:pt>
                <c:pt idx="75">
                  <c:v>-0.81468700000000005</c:v>
                </c:pt>
                <c:pt idx="76">
                  <c:v>-0.81764800000000004</c:v>
                </c:pt>
                <c:pt idx="77">
                  <c:v>-0.82045999999999997</c:v>
                </c:pt>
                <c:pt idx="78">
                  <c:v>-0.82313099999999995</c:v>
                </c:pt>
                <c:pt idx="79">
                  <c:v>-0.82566799999999996</c:v>
                </c:pt>
                <c:pt idx="80">
                  <c:v>-0.82807799999999998</c:v>
                </c:pt>
                <c:pt idx="81">
                  <c:v>-0.83036699999999997</c:v>
                </c:pt>
                <c:pt idx="82">
                  <c:v>-0.83254099999999998</c:v>
                </c:pt>
                <c:pt idx="83">
                  <c:v>-0.83460599999999996</c:v>
                </c:pt>
                <c:pt idx="84">
                  <c:v>-0.83656699999999995</c:v>
                </c:pt>
                <c:pt idx="85">
                  <c:v>-0.83843000000000001</c:v>
                </c:pt>
                <c:pt idx="86">
                  <c:v>-0.84019999999999995</c:v>
                </c:pt>
                <c:pt idx="87">
                  <c:v>-0.84188099999999999</c:v>
                </c:pt>
                <c:pt idx="88">
                  <c:v>-0.84347700000000003</c:v>
                </c:pt>
                <c:pt idx="89">
                  <c:v>-0.84499400000000002</c:v>
                </c:pt>
                <c:pt idx="90">
                  <c:v>-0.84643500000000005</c:v>
                </c:pt>
                <c:pt idx="91">
                  <c:v>-0.84780299999999997</c:v>
                </c:pt>
                <c:pt idx="92">
                  <c:v>-0.84910300000000005</c:v>
                </c:pt>
                <c:pt idx="93">
                  <c:v>-0.85033800000000004</c:v>
                </c:pt>
                <c:pt idx="94">
                  <c:v>-0.85151100000000002</c:v>
                </c:pt>
                <c:pt idx="95">
                  <c:v>-0.85262499999999997</c:v>
                </c:pt>
                <c:pt idx="96">
                  <c:v>-0.853684</c:v>
                </c:pt>
                <c:pt idx="97">
                  <c:v>-0.85468900000000003</c:v>
                </c:pt>
                <c:pt idx="98">
                  <c:v>-0.85564399999999996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D6B-4E9F-829A-BD220D839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4716432"/>
        <c:axId val="1594714992"/>
      </c:scatterChart>
      <c:valAx>
        <c:axId val="1594716432"/>
        <c:scaling>
          <c:orientation val="minMax"/>
          <c:max val="2"/>
          <c:min val="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x1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714992"/>
        <c:crosses val="autoZero"/>
        <c:crossBetween val="midCat"/>
      </c:valAx>
      <c:valAx>
        <c:axId val="1594714992"/>
        <c:scaling>
          <c:orientation val="minMax"/>
          <c:max val="2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x2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716432"/>
        <c:crosses val="autoZero"/>
        <c:crossBetween val="midCat"/>
      </c:valAx>
      <c:spPr>
        <a:blipFill dpi="0" rotWithShape="1">
          <a:blip xmlns:r="http://schemas.openxmlformats.org/officeDocument/2006/relationships" r:embed="rId3">
            <a:alphaModFix amt="30000"/>
          </a:blip>
          <a:srcRect/>
          <a:stretch>
            <a:fillRect/>
          </a:stretch>
        </a:blip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Krok</a:t>
            </a:r>
            <a:r>
              <a:rPr lang="en-GB" baseline="0"/>
              <a:t> = 0.25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Wykresy!$D$4:$D$63</c:f>
              <c:numCache>
                <c:formatCode>General</c:formatCode>
                <c:ptCount val="60"/>
                <c:pt idx="0">
                  <c:v>2</c:v>
                </c:pt>
                <c:pt idx="1">
                  <c:v>-0.1</c:v>
                </c:pt>
                <c:pt idx="2">
                  <c:v>-0.12604699999999999</c:v>
                </c:pt>
                <c:pt idx="3">
                  <c:v>-7.0845000000000005E-2</c:v>
                </c:pt>
                <c:pt idx="4">
                  <c:v>-4.2625999999999997E-2</c:v>
                </c:pt>
                <c:pt idx="5">
                  <c:v>-2.5635999999999999E-2</c:v>
                </c:pt>
                <c:pt idx="6">
                  <c:v>-1.5459000000000001E-2</c:v>
                </c:pt>
                <c:pt idx="7">
                  <c:v>-9.3270000000000002E-3</c:v>
                </c:pt>
                <c:pt idx="8">
                  <c:v>-5.6280000000000002E-3</c:v>
                </c:pt>
                <c:pt idx="9">
                  <c:v>-3.3969999999999998E-3</c:v>
                </c:pt>
                <c:pt idx="10">
                  <c:v>-2.0500000000000002E-3</c:v>
                </c:pt>
                <c:pt idx="11">
                  <c:v>-1.237E-3</c:v>
                </c:pt>
                <c:pt idx="12">
                  <c:v>-7.4700000000000005E-4</c:v>
                </c:pt>
                <c:pt idx="13">
                  <c:v>-4.5100000000000001E-4</c:v>
                </c:pt>
                <c:pt idx="14">
                  <c:v>-2.72E-4</c:v>
                </c:pt>
                <c:pt idx="15">
                  <c:v>-1.64E-4</c:v>
                </c:pt>
                <c:pt idx="16">
                  <c:v>-9.8999999999999994E-5</c:v>
                </c:pt>
                <c:pt idx="17">
                  <c:v>-6.0000000000000002E-5</c:v>
                </c:pt>
                <c:pt idx="18">
                  <c:v>-3.6000000000000001E-5</c:v>
                </c:pt>
              </c:numCache>
            </c:numRef>
          </c:xVal>
          <c:yVal>
            <c:numRef>
              <c:f>Wykresy!$E$4:$E$63</c:f>
              <c:numCache>
                <c:formatCode>General</c:formatCode>
                <c:ptCount val="60"/>
                <c:pt idx="0">
                  <c:v>2</c:v>
                </c:pt>
                <c:pt idx="1">
                  <c:v>0.5</c:v>
                </c:pt>
                <c:pt idx="2">
                  <c:v>0.27500000000000002</c:v>
                </c:pt>
                <c:pt idx="3">
                  <c:v>0.169012</c:v>
                </c:pt>
                <c:pt idx="4">
                  <c:v>0.102217</c:v>
                </c:pt>
                <c:pt idx="5">
                  <c:v>6.1765E-2</c:v>
                </c:pt>
                <c:pt idx="6">
                  <c:v>3.7290999999999998E-2</c:v>
                </c:pt>
                <c:pt idx="7">
                  <c:v>2.2509999999999999E-2</c:v>
                </c:pt>
                <c:pt idx="8">
                  <c:v>1.3587E-2</c:v>
                </c:pt>
                <c:pt idx="9">
                  <c:v>8.201E-3</c:v>
                </c:pt>
                <c:pt idx="10">
                  <c:v>4.9500000000000004E-3</c:v>
                </c:pt>
                <c:pt idx="11">
                  <c:v>2.9870000000000001E-3</c:v>
                </c:pt>
                <c:pt idx="12">
                  <c:v>1.8029999999999999E-3</c:v>
                </c:pt>
                <c:pt idx="13">
                  <c:v>1.088E-3</c:v>
                </c:pt>
                <c:pt idx="14">
                  <c:v>6.5700000000000003E-4</c:v>
                </c:pt>
                <c:pt idx="15">
                  <c:v>3.9599999999999998E-4</c:v>
                </c:pt>
                <c:pt idx="16">
                  <c:v>2.3900000000000001E-4</c:v>
                </c:pt>
                <c:pt idx="17">
                  <c:v>1.44E-4</c:v>
                </c:pt>
                <c:pt idx="18">
                  <c:v>8.7000000000000001E-5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79-4E23-90C7-9716C61A80D6}"/>
            </c:ext>
          </c:extLst>
        </c:ser>
        <c:ser>
          <c:idx val="1"/>
          <c:order val="1"/>
          <c:tx>
            <c:v>CG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Wykresy!$J$4:$J$63</c:f>
              <c:numCache>
                <c:formatCode>General</c:formatCode>
                <c:ptCount val="60"/>
                <c:pt idx="0">
                  <c:v>2</c:v>
                </c:pt>
                <c:pt idx="1">
                  <c:v>-0.1</c:v>
                </c:pt>
                <c:pt idx="2">
                  <c:v>-0.14222399999999999</c:v>
                </c:pt>
                <c:pt idx="3">
                  <c:v>-8.0907999999999994E-2</c:v>
                </c:pt>
                <c:pt idx="4">
                  <c:v>-8.9560000000000004E-3</c:v>
                </c:pt>
                <c:pt idx="5">
                  <c:v>-4.2789999999999998E-3</c:v>
                </c:pt>
                <c:pt idx="6">
                  <c:v>-2.0709999999999999E-3</c:v>
                </c:pt>
                <c:pt idx="7">
                  <c:v>-8.0800000000000002E-4</c:v>
                </c:pt>
                <c:pt idx="8">
                  <c:v>-2.22E-4</c:v>
                </c:pt>
              </c:numCache>
            </c:numRef>
          </c:xVal>
          <c:yVal>
            <c:numRef>
              <c:f>Wykresy!$K$4:$K$63</c:f>
              <c:numCache>
                <c:formatCode>General</c:formatCode>
                <c:ptCount val="60"/>
                <c:pt idx="0">
                  <c:v>2</c:v>
                </c:pt>
                <c:pt idx="1">
                  <c:v>0.5</c:v>
                </c:pt>
                <c:pt idx="2">
                  <c:v>0.26344499999999998</c:v>
                </c:pt>
                <c:pt idx="3">
                  <c:v>9.9824999999999997E-2</c:v>
                </c:pt>
                <c:pt idx="4">
                  <c:v>2.5961000000000001E-2</c:v>
                </c:pt>
                <c:pt idx="5">
                  <c:v>1.2947999999999999E-2</c:v>
                </c:pt>
                <c:pt idx="6">
                  <c:v>4.2979999999999997E-3</c:v>
                </c:pt>
                <c:pt idx="7">
                  <c:v>1.6230000000000001E-3</c:v>
                </c:pt>
                <c:pt idx="8">
                  <c:v>6.2299999999999996E-4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479-4E23-90C7-9716C61A80D6}"/>
            </c:ext>
          </c:extLst>
        </c:ser>
        <c:ser>
          <c:idx val="2"/>
          <c:order val="2"/>
          <c:tx>
            <c:v>Newton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Wykresy!$P$4:$P$102</c:f>
              <c:numCache>
                <c:formatCode>General</c:formatCode>
                <c:ptCount val="99"/>
                <c:pt idx="0">
                  <c:v>2</c:v>
                </c:pt>
                <c:pt idx="1">
                  <c:v>1.9592149999999999</c:v>
                </c:pt>
                <c:pt idx="2">
                  <c:v>1.923295</c:v>
                </c:pt>
                <c:pt idx="3">
                  <c:v>1.8920030000000001</c:v>
                </c:pt>
                <c:pt idx="4">
                  <c:v>1.8650659999999999</c:v>
                </c:pt>
                <c:pt idx="5">
                  <c:v>1.842176</c:v>
                </c:pt>
                <c:pt idx="6">
                  <c:v>1.8229880000000001</c:v>
                </c:pt>
                <c:pt idx="7">
                  <c:v>1.8071250000000001</c:v>
                </c:pt>
                <c:pt idx="8">
                  <c:v>1.794189</c:v>
                </c:pt>
                <c:pt idx="9">
                  <c:v>1.7837780000000001</c:v>
                </c:pt>
                <c:pt idx="10">
                  <c:v>1.7755000000000001</c:v>
                </c:pt>
                <c:pt idx="11">
                  <c:v>1.7689889999999999</c:v>
                </c:pt>
                <c:pt idx="12">
                  <c:v>1.763916</c:v>
                </c:pt>
                <c:pt idx="13">
                  <c:v>1.759995</c:v>
                </c:pt>
                <c:pt idx="14">
                  <c:v>1.7569840000000001</c:v>
                </c:pt>
                <c:pt idx="15">
                  <c:v>1.7546839999999999</c:v>
                </c:pt>
                <c:pt idx="16">
                  <c:v>1.752934</c:v>
                </c:pt>
                <c:pt idx="17">
                  <c:v>1.7516080000000001</c:v>
                </c:pt>
                <c:pt idx="18">
                  <c:v>1.750605</c:v>
                </c:pt>
                <c:pt idx="19">
                  <c:v>1.7498480000000001</c:v>
                </c:pt>
                <c:pt idx="20">
                  <c:v>1.7492780000000001</c:v>
                </c:pt>
                <c:pt idx="21">
                  <c:v>1.748848</c:v>
                </c:pt>
                <c:pt idx="22">
                  <c:v>1.7485250000000001</c:v>
                </c:pt>
                <c:pt idx="23">
                  <c:v>1.748283</c:v>
                </c:pt>
                <c:pt idx="24">
                  <c:v>1.7481009999999999</c:v>
                </c:pt>
                <c:pt idx="25">
                  <c:v>1.7479640000000001</c:v>
                </c:pt>
                <c:pt idx="26">
                  <c:v>1.7478610000000001</c:v>
                </c:pt>
                <c:pt idx="27">
                  <c:v>1.747784</c:v>
                </c:pt>
                <c:pt idx="28">
                  <c:v>1.7477259999999999</c:v>
                </c:pt>
                <c:pt idx="29">
                  <c:v>1.7476830000000001</c:v>
                </c:pt>
                <c:pt idx="30">
                  <c:v>1.7476499999999999</c:v>
                </c:pt>
                <c:pt idx="31">
                  <c:v>1.7476259999999999</c:v>
                </c:pt>
                <c:pt idx="32">
                  <c:v>1.7476069999999999</c:v>
                </c:pt>
              </c:numCache>
            </c:numRef>
          </c:xVal>
          <c:yVal>
            <c:numRef>
              <c:f>Wykresy!$Q$4:$Q$102</c:f>
              <c:numCache>
                <c:formatCode>General</c:formatCode>
                <c:ptCount val="99"/>
                <c:pt idx="0">
                  <c:v>2</c:v>
                </c:pt>
                <c:pt idx="1">
                  <c:v>1.2703930000000001</c:v>
                </c:pt>
                <c:pt idx="2">
                  <c:v>0.72585200000000005</c:v>
                </c:pt>
                <c:pt idx="3">
                  <c:v>0.31962400000000002</c:v>
                </c:pt>
                <c:pt idx="4">
                  <c:v>1.6685999999999999E-2</c:v>
                </c:pt>
                <c:pt idx="5">
                  <c:v>-0.209174</c:v>
                </c:pt>
                <c:pt idx="6">
                  <c:v>-0.377558</c:v>
                </c:pt>
                <c:pt idx="7">
                  <c:v>-0.50311099999999997</c:v>
                </c:pt>
                <c:pt idx="8">
                  <c:v>-0.59675599999999995</c:v>
                </c:pt>
                <c:pt idx="9">
                  <c:v>-0.66663499999999998</c:v>
                </c:pt>
                <c:pt idx="10">
                  <c:v>-0.71880900000000003</c:v>
                </c:pt>
                <c:pt idx="11">
                  <c:v>-0.75778900000000005</c:v>
                </c:pt>
                <c:pt idx="12">
                  <c:v>-0.78692899999999999</c:v>
                </c:pt>
                <c:pt idx="13">
                  <c:v>-0.80872599999999994</c:v>
                </c:pt>
                <c:pt idx="14">
                  <c:v>-0.82503800000000005</c:v>
                </c:pt>
                <c:pt idx="15">
                  <c:v>-0.837252</c:v>
                </c:pt>
                <c:pt idx="16">
                  <c:v>-0.84639900000000001</c:v>
                </c:pt>
                <c:pt idx="17">
                  <c:v>-0.85325300000000004</c:v>
                </c:pt>
                <c:pt idx="18">
                  <c:v>-0.85838899999999996</c:v>
                </c:pt>
                <c:pt idx="19">
                  <c:v>-0.86223899999999998</c:v>
                </c:pt>
                <c:pt idx="20">
                  <c:v>-0.86512500000000003</c:v>
                </c:pt>
                <c:pt idx="21">
                  <c:v>-0.86728899999999998</c:v>
                </c:pt>
                <c:pt idx="22">
                  <c:v>-0.86891099999999999</c:v>
                </c:pt>
                <c:pt idx="23">
                  <c:v>-0.87012800000000001</c:v>
                </c:pt>
                <c:pt idx="24">
                  <c:v>-0.87104000000000004</c:v>
                </c:pt>
                <c:pt idx="25">
                  <c:v>-0.87172400000000005</c:v>
                </c:pt>
                <c:pt idx="26">
                  <c:v>-0.87223700000000004</c:v>
                </c:pt>
                <c:pt idx="27">
                  <c:v>-0.87262200000000001</c:v>
                </c:pt>
                <c:pt idx="28">
                  <c:v>-0.87291099999999999</c:v>
                </c:pt>
                <c:pt idx="29">
                  <c:v>-0.87312699999999999</c:v>
                </c:pt>
                <c:pt idx="30">
                  <c:v>-0.87328899999999998</c:v>
                </c:pt>
                <c:pt idx="31">
                  <c:v>-0.87341100000000005</c:v>
                </c:pt>
                <c:pt idx="32">
                  <c:v>-0.873502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479-4E23-90C7-9716C61A8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4716432"/>
        <c:axId val="1594714992"/>
      </c:scatterChart>
      <c:valAx>
        <c:axId val="1594716432"/>
        <c:scaling>
          <c:orientation val="minMax"/>
          <c:max val="2"/>
          <c:min val="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x1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714992"/>
        <c:crosses val="autoZero"/>
        <c:crossBetween val="midCat"/>
      </c:valAx>
      <c:valAx>
        <c:axId val="1594714992"/>
        <c:scaling>
          <c:orientation val="minMax"/>
          <c:max val="2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x2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716432"/>
        <c:crosses val="autoZero"/>
        <c:crossBetween val="midCat"/>
      </c:valAx>
      <c:spPr>
        <a:blipFill dpi="0" rotWithShape="1">
          <a:blip xmlns:r="http://schemas.openxmlformats.org/officeDocument/2006/relationships" r:embed="rId3">
            <a:alphaModFix amt="30000"/>
          </a:blip>
          <a:srcRect/>
          <a:stretch>
            <a:fillRect/>
          </a:stretch>
        </a:blip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Krok</a:t>
            </a:r>
            <a:r>
              <a:rPr lang="en-GB" baseline="0"/>
              <a:t> zmienny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Wykresy!$F$4:$F$63</c:f>
              <c:numCache>
                <c:formatCode>General</c:formatCode>
                <c:ptCount val="60"/>
                <c:pt idx="0">
                  <c:v>2</c:v>
                </c:pt>
                <c:pt idx="1">
                  <c:v>-0.222219</c:v>
                </c:pt>
                <c:pt idx="2">
                  <c:v>3.5708999999999998E-2</c:v>
                </c:pt>
                <c:pt idx="3">
                  <c:v>-9.7660000000000004E-3</c:v>
                </c:pt>
                <c:pt idx="4">
                  <c:v>1.8580000000000001E-3</c:v>
                </c:pt>
                <c:pt idx="5">
                  <c:v>-5.1199999999999998E-4</c:v>
                </c:pt>
                <c:pt idx="6">
                  <c:v>9.7E-5</c:v>
                </c:pt>
                <c:pt idx="7">
                  <c:v>-2.6999999999999999E-5</c:v>
                </c:pt>
                <c:pt idx="8">
                  <c:v>5.0000000000000004E-6</c:v>
                </c:pt>
              </c:numCache>
            </c:numRef>
          </c:xVal>
          <c:yVal>
            <c:numRef>
              <c:f>Wykresy!$G$4:$G$63</c:f>
              <c:numCache>
                <c:formatCode>General</c:formatCode>
                <c:ptCount val="60"/>
                <c:pt idx="0">
                  <c:v>2</c:v>
                </c:pt>
                <c:pt idx="1">
                  <c:v>0.41270099999999998</c:v>
                </c:pt>
                <c:pt idx="2">
                  <c:v>5.142E-2</c:v>
                </c:pt>
                <c:pt idx="3">
                  <c:v>1.8953999999999999E-2</c:v>
                </c:pt>
                <c:pt idx="4">
                  <c:v>2.686E-3</c:v>
                </c:pt>
                <c:pt idx="5">
                  <c:v>9.9299999999999996E-4</c:v>
                </c:pt>
                <c:pt idx="6">
                  <c:v>1.4100000000000001E-4</c:v>
                </c:pt>
                <c:pt idx="7">
                  <c:v>5.1999999999999997E-5</c:v>
                </c:pt>
                <c:pt idx="8">
                  <c:v>6.9999999999999999E-6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D0-4898-B8F3-23C1136A5B4D}"/>
            </c:ext>
          </c:extLst>
        </c:ser>
        <c:ser>
          <c:idx val="1"/>
          <c:order val="1"/>
          <c:tx>
            <c:v>CG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Wykresy!$L$4:$L$63</c:f>
              <c:numCache>
                <c:formatCode>General</c:formatCode>
                <c:ptCount val="60"/>
                <c:pt idx="0">
                  <c:v>2</c:v>
                </c:pt>
                <c:pt idx="1">
                  <c:v>-0.222219</c:v>
                </c:pt>
                <c:pt idx="2">
                  <c:v>1.8286E-2</c:v>
                </c:pt>
                <c:pt idx="3">
                  <c:v>-1.4300000000000001E-3</c:v>
                </c:pt>
                <c:pt idx="4">
                  <c:v>2.3900000000000001E-4</c:v>
                </c:pt>
                <c:pt idx="5">
                  <c:v>-1.2E-5</c:v>
                </c:pt>
              </c:numCache>
            </c:numRef>
          </c:xVal>
          <c:yVal>
            <c:numRef>
              <c:f>Wykresy!$M$4:$M$63</c:f>
              <c:numCache>
                <c:formatCode>General</c:formatCode>
                <c:ptCount val="60"/>
                <c:pt idx="0">
                  <c:v>2</c:v>
                </c:pt>
                <c:pt idx="1">
                  <c:v>0.41270099999999998</c:v>
                </c:pt>
                <c:pt idx="2">
                  <c:v>1.8963000000000001E-2</c:v>
                </c:pt>
                <c:pt idx="3">
                  <c:v>2.591E-3</c:v>
                </c:pt>
                <c:pt idx="4">
                  <c:v>3.9199999999999999E-4</c:v>
                </c:pt>
                <c:pt idx="5">
                  <c:v>1.5999999999999999E-5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9D0-4898-B8F3-23C1136A5B4D}"/>
            </c:ext>
          </c:extLst>
        </c:ser>
        <c:ser>
          <c:idx val="2"/>
          <c:order val="2"/>
          <c:tx>
            <c:v>Newton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Wykresy!$R$4:$R$102</c:f>
              <c:numCache>
                <c:formatCode>General</c:formatCode>
                <c:ptCount val="99"/>
                <c:pt idx="0">
                  <c:v>2</c:v>
                </c:pt>
                <c:pt idx="1">
                  <c:v>1.8349740000000001</c:v>
                </c:pt>
                <c:pt idx="2">
                  <c:v>1.7481500000000001</c:v>
                </c:pt>
                <c:pt idx="3">
                  <c:v>1.7475529999999999</c:v>
                </c:pt>
                <c:pt idx="4">
                  <c:v>1.747552</c:v>
                </c:pt>
              </c:numCache>
            </c:numRef>
          </c:xVal>
          <c:yVal>
            <c:numRef>
              <c:f>Wykresy!$S$4:$S$102</c:f>
              <c:numCache>
                <c:formatCode>General</c:formatCode>
                <c:ptCount val="99"/>
                <c:pt idx="0">
                  <c:v>2</c:v>
                </c:pt>
                <c:pt idx="1">
                  <c:v>-0.95213800000000004</c:v>
                </c:pt>
                <c:pt idx="2">
                  <c:v>-0.86686099999999999</c:v>
                </c:pt>
                <c:pt idx="3">
                  <c:v>-0.87377700000000003</c:v>
                </c:pt>
                <c:pt idx="4">
                  <c:v>-0.873776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9D0-4898-B8F3-23C1136A5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4716432"/>
        <c:axId val="1594714992"/>
      </c:scatterChart>
      <c:valAx>
        <c:axId val="1594716432"/>
        <c:scaling>
          <c:orientation val="minMax"/>
          <c:max val="2"/>
          <c:min val="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x1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714992"/>
        <c:crosses val="autoZero"/>
        <c:crossBetween val="midCat"/>
      </c:valAx>
      <c:valAx>
        <c:axId val="1594714992"/>
        <c:scaling>
          <c:orientation val="minMax"/>
          <c:max val="2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x2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716432"/>
        <c:crosses val="autoZero"/>
        <c:crossBetween val="midCat"/>
      </c:valAx>
      <c:spPr>
        <a:blipFill dpi="0" rotWithShape="1">
          <a:blip xmlns:r="http://schemas.openxmlformats.org/officeDocument/2006/relationships" r:embed="rId3">
            <a:alphaModFix amt="30000"/>
          </a:blip>
          <a:srcRect/>
          <a:stretch>
            <a:fillRect/>
          </a:stretch>
        </a:blip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SD</a:t>
            </a:r>
            <a:endParaRPr lang="en-GB" baseline="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3"/>
          <c:order val="0"/>
          <c:tx>
            <c:v>SD 0.05</c:v>
          </c:tx>
          <c:xVal>
            <c:numRef>
              <c:f>Wykresy!$B$4:$B$63</c:f>
              <c:numCache>
                <c:formatCode>General</c:formatCode>
                <c:ptCount val="60"/>
                <c:pt idx="0">
                  <c:v>2</c:v>
                </c:pt>
                <c:pt idx="1">
                  <c:v>1.58</c:v>
                </c:pt>
                <c:pt idx="2">
                  <c:v>1.5149760000000001</c:v>
                </c:pt>
                <c:pt idx="3">
                  <c:v>1.470599</c:v>
                </c:pt>
                <c:pt idx="4">
                  <c:v>1.43895</c:v>
                </c:pt>
                <c:pt idx="5">
                  <c:v>1.416706</c:v>
                </c:pt>
                <c:pt idx="6">
                  <c:v>1.4022209999999999</c:v>
                </c:pt>
                <c:pt idx="7">
                  <c:v>1.39463</c:v>
                </c:pt>
                <c:pt idx="8">
                  <c:v>1.3934770000000001</c:v>
                </c:pt>
                <c:pt idx="9">
                  <c:v>1.3985240000000001</c:v>
                </c:pt>
                <c:pt idx="10">
                  <c:v>1.4096280000000001</c:v>
                </c:pt>
                <c:pt idx="11">
                  <c:v>1.4266209999999999</c:v>
                </c:pt>
                <c:pt idx="12">
                  <c:v>1.4491860000000001</c:v>
                </c:pt>
                <c:pt idx="13">
                  <c:v>1.476718</c:v>
                </c:pt>
                <c:pt idx="14">
                  <c:v>1.5081739999999999</c:v>
                </c:pt>
                <c:pt idx="15">
                  <c:v>1.5419830000000001</c:v>
                </c:pt>
                <c:pt idx="16">
                  <c:v>1.5760879999999999</c:v>
                </c:pt>
                <c:pt idx="17">
                  <c:v>1.6082259999999999</c:v>
                </c:pt>
                <c:pt idx="18">
                  <c:v>1.6364179999999999</c:v>
                </c:pt>
                <c:pt idx="19">
                  <c:v>1.6594850000000001</c:v>
                </c:pt>
                <c:pt idx="20">
                  <c:v>1.6772769999999999</c:v>
                </c:pt>
                <c:pt idx="21">
                  <c:v>1.6904699999999999</c:v>
                </c:pt>
                <c:pt idx="22">
                  <c:v>1.7001189999999999</c:v>
                </c:pt>
                <c:pt idx="23">
                  <c:v>1.7072579999999999</c:v>
                </c:pt>
                <c:pt idx="24">
                  <c:v>1.712699</c:v>
                </c:pt>
                <c:pt idx="25">
                  <c:v>1.7170019999999999</c:v>
                </c:pt>
                <c:pt idx="26">
                  <c:v>1.720529</c:v>
                </c:pt>
                <c:pt idx="27">
                  <c:v>1.7235050000000001</c:v>
                </c:pt>
                <c:pt idx="28">
                  <c:v>1.7260679999999999</c:v>
                </c:pt>
                <c:pt idx="29">
                  <c:v>1.728307</c:v>
                </c:pt>
                <c:pt idx="30">
                  <c:v>1.7302820000000001</c:v>
                </c:pt>
                <c:pt idx="31">
                  <c:v>1.7320340000000001</c:v>
                </c:pt>
                <c:pt idx="32">
                  <c:v>1.7335940000000001</c:v>
                </c:pt>
                <c:pt idx="33">
                  <c:v>1.734988</c:v>
                </c:pt>
                <c:pt idx="34">
                  <c:v>1.7362359999999999</c:v>
                </c:pt>
                <c:pt idx="35">
                  <c:v>1.7373540000000001</c:v>
                </c:pt>
                <c:pt idx="36">
                  <c:v>1.7383580000000001</c:v>
                </c:pt>
                <c:pt idx="37">
                  <c:v>1.7392590000000001</c:v>
                </c:pt>
                <c:pt idx="38">
                  <c:v>1.74007</c:v>
                </c:pt>
                <c:pt idx="39">
                  <c:v>1.740799</c:v>
                </c:pt>
                <c:pt idx="40">
                  <c:v>1.7414559999999999</c:v>
                </c:pt>
                <c:pt idx="41">
                  <c:v>1.7420469999999999</c:v>
                </c:pt>
                <c:pt idx="42">
                  <c:v>1.74258</c:v>
                </c:pt>
                <c:pt idx="43">
                  <c:v>1.743061</c:v>
                </c:pt>
                <c:pt idx="44">
                  <c:v>1.7434940000000001</c:v>
                </c:pt>
                <c:pt idx="45">
                  <c:v>1.7438849999999999</c:v>
                </c:pt>
                <c:pt idx="46">
                  <c:v>1.744238</c:v>
                </c:pt>
                <c:pt idx="47">
                  <c:v>1.7445569999999999</c:v>
                </c:pt>
                <c:pt idx="48">
                  <c:v>1.7448440000000001</c:v>
                </c:pt>
                <c:pt idx="49">
                  <c:v>1.745104</c:v>
                </c:pt>
                <c:pt idx="50">
                  <c:v>1.745339</c:v>
                </c:pt>
                <c:pt idx="51">
                  <c:v>1.7455510000000001</c:v>
                </c:pt>
                <c:pt idx="52">
                  <c:v>1.7457419999999999</c:v>
                </c:pt>
                <c:pt idx="53">
                  <c:v>1.745916</c:v>
                </c:pt>
                <c:pt idx="54">
                  <c:v>1.7460720000000001</c:v>
                </c:pt>
                <c:pt idx="55">
                  <c:v>1.7462139999999999</c:v>
                </c:pt>
                <c:pt idx="56">
                  <c:v>1.7463409999999999</c:v>
                </c:pt>
                <c:pt idx="57">
                  <c:v>1.7464569999999999</c:v>
                </c:pt>
                <c:pt idx="58">
                  <c:v>1.7465619999999999</c:v>
                </c:pt>
                <c:pt idx="59">
                  <c:v>1.746656</c:v>
                </c:pt>
              </c:numCache>
            </c:numRef>
          </c:xVal>
          <c:yVal>
            <c:numRef>
              <c:f>Wykresy!$C$4:$C$63</c:f>
              <c:numCache>
                <c:formatCode>General</c:formatCode>
                <c:ptCount val="60"/>
                <c:pt idx="0">
                  <c:v>2</c:v>
                </c:pt>
                <c:pt idx="1">
                  <c:v>1.7</c:v>
                </c:pt>
                <c:pt idx="2">
                  <c:v>1.4510000000000001</c:v>
                </c:pt>
                <c:pt idx="3">
                  <c:v>1.230151</c:v>
                </c:pt>
                <c:pt idx="4">
                  <c:v>1.033606</c:v>
                </c:pt>
                <c:pt idx="5">
                  <c:v>0.85829800000000001</c:v>
                </c:pt>
                <c:pt idx="6">
                  <c:v>0.70163299999999995</c:v>
                </c:pt>
                <c:pt idx="7">
                  <c:v>0.56135900000000005</c:v>
                </c:pt>
                <c:pt idx="8">
                  <c:v>0.43549100000000002</c:v>
                </c:pt>
                <c:pt idx="9">
                  <c:v>0.322268</c:v>
                </c:pt>
                <c:pt idx="10">
                  <c:v>0.22011500000000001</c:v>
                </c:pt>
                <c:pt idx="11">
                  <c:v>0.12762200000000001</c:v>
                </c:pt>
                <c:pt idx="12">
                  <c:v>4.3528999999999998E-2</c:v>
                </c:pt>
                <c:pt idx="13">
                  <c:v>-3.3283E-2</c:v>
                </c:pt>
                <c:pt idx="14">
                  <c:v>-0.10379099999999999</c:v>
                </c:pt>
                <c:pt idx="15">
                  <c:v>-0.16882</c:v>
                </c:pt>
                <c:pt idx="16">
                  <c:v>-0.22903699999999999</c:v>
                </c:pt>
                <c:pt idx="17">
                  <c:v>-0.28493800000000002</c:v>
                </c:pt>
                <c:pt idx="18">
                  <c:v>-0.33685599999999999</c:v>
                </c:pt>
                <c:pt idx="19">
                  <c:v>-0.38499100000000003</c:v>
                </c:pt>
                <c:pt idx="20">
                  <c:v>-0.42946600000000001</c:v>
                </c:pt>
                <c:pt idx="21">
                  <c:v>-0.470383</c:v>
                </c:pt>
                <c:pt idx="22">
                  <c:v>-0.50786900000000001</c:v>
                </c:pt>
                <c:pt idx="23">
                  <c:v>-0.54208800000000001</c:v>
                </c:pt>
                <c:pt idx="24">
                  <c:v>-0.57324200000000003</c:v>
                </c:pt>
                <c:pt idx="25">
                  <c:v>-0.601553</c:v>
                </c:pt>
                <c:pt idx="26">
                  <c:v>-0.627247</c:v>
                </c:pt>
                <c:pt idx="27">
                  <c:v>-0.65054900000000004</c:v>
                </c:pt>
                <c:pt idx="28">
                  <c:v>-0.67166899999999996</c:v>
                </c:pt>
                <c:pt idx="29">
                  <c:v>-0.69080600000000003</c:v>
                </c:pt>
                <c:pt idx="30">
                  <c:v>-0.70814100000000002</c:v>
                </c:pt>
                <c:pt idx="31">
                  <c:v>-0.72384099999999996</c:v>
                </c:pt>
                <c:pt idx="32">
                  <c:v>-0.73805799999999999</c:v>
                </c:pt>
                <c:pt idx="33">
                  <c:v>-0.75093200000000004</c:v>
                </c:pt>
                <c:pt idx="34">
                  <c:v>-0.76258800000000004</c:v>
                </c:pt>
                <c:pt idx="35">
                  <c:v>-0.77314099999999997</c:v>
                </c:pt>
                <c:pt idx="36">
                  <c:v>-0.78269500000000003</c:v>
                </c:pt>
                <c:pt idx="37">
                  <c:v>-0.79134300000000002</c:v>
                </c:pt>
                <c:pt idx="38">
                  <c:v>-0.79917199999999999</c:v>
                </c:pt>
                <c:pt idx="39">
                  <c:v>-0.80625800000000003</c:v>
                </c:pt>
                <c:pt idx="40">
                  <c:v>-0.81267199999999995</c:v>
                </c:pt>
                <c:pt idx="41">
                  <c:v>-0.81847800000000004</c:v>
                </c:pt>
                <c:pt idx="42">
                  <c:v>-0.82373200000000002</c:v>
                </c:pt>
                <c:pt idx="43">
                  <c:v>-0.828488</c:v>
                </c:pt>
                <c:pt idx="44">
                  <c:v>-0.83279199999999998</c:v>
                </c:pt>
                <c:pt idx="45">
                  <c:v>-0.83668799999999999</c:v>
                </c:pt>
                <c:pt idx="46">
                  <c:v>-0.84021299999999999</c:v>
                </c:pt>
                <c:pt idx="47">
                  <c:v>-0.84340400000000004</c:v>
                </c:pt>
                <c:pt idx="48">
                  <c:v>-0.84629100000000002</c:v>
                </c:pt>
                <c:pt idx="49">
                  <c:v>-0.84890399999999999</c:v>
                </c:pt>
                <c:pt idx="50">
                  <c:v>-0.85126900000000005</c:v>
                </c:pt>
                <c:pt idx="51">
                  <c:v>-0.85340899999999997</c:v>
                </c:pt>
                <c:pt idx="52">
                  <c:v>-0.85534600000000005</c:v>
                </c:pt>
                <c:pt idx="53">
                  <c:v>-0.85709800000000003</c:v>
                </c:pt>
                <c:pt idx="54">
                  <c:v>-0.858684</c:v>
                </c:pt>
                <c:pt idx="55">
                  <c:v>-0.86012</c:v>
                </c:pt>
                <c:pt idx="56">
                  <c:v>-0.86141800000000002</c:v>
                </c:pt>
                <c:pt idx="57">
                  <c:v>-0.86259300000000005</c:v>
                </c:pt>
                <c:pt idx="58">
                  <c:v>-0.86365700000000001</c:v>
                </c:pt>
                <c:pt idx="59">
                  <c:v>-0.86461900000000003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1ACD-40FF-925E-46AA4C981AE5}"/>
            </c:ext>
          </c:extLst>
        </c:ser>
        <c:ser>
          <c:idx val="6"/>
          <c:order val="3"/>
          <c:tx>
            <c:v>SD 0.25</c:v>
          </c:tx>
          <c:spPr>
            <a:ln w="19050" cap="rnd">
              <a:solidFill>
                <a:schemeClr val="accent3">
                  <a:lumMod val="75000"/>
                </a:schemeClr>
              </a:solidFill>
              <a:round/>
            </a:ln>
            <a:effectLst/>
          </c:spPr>
          <c:marker>
            <c:spPr>
              <a:solidFill>
                <a:schemeClr val="accent3">
                  <a:lumMod val="75000"/>
                </a:schemeClr>
              </a:solidFill>
            </c:spPr>
          </c:marker>
          <c:xVal>
            <c:numRef>
              <c:f>Wykresy!$D$4:$D$63</c:f>
              <c:numCache>
                <c:formatCode>General</c:formatCode>
                <c:ptCount val="60"/>
                <c:pt idx="0">
                  <c:v>2</c:v>
                </c:pt>
                <c:pt idx="1">
                  <c:v>-0.1</c:v>
                </c:pt>
                <c:pt idx="2">
                  <c:v>-0.12604699999999999</c:v>
                </c:pt>
                <c:pt idx="3">
                  <c:v>-7.0845000000000005E-2</c:v>
                </c:pt>
                <c:pt idx="4">
                  <c:v>-4.2625999999999997E-2</c:v>
                </c:pt>
                <c:pt idx="5">
                  <c:v>-2.5635999999999999E-2</c:v>
                </c:pt>
                <c:pt idx="6">
                  <c:v>-1.5459000000000001E-2</c:v>
                </c:pt>
                <c:pt idx="7">
                  <c:v>-9.3270000000000002E-3</c:v>
                </c:pt>
                <c:pt idx="8">
                  <c:v>-5.6280000000000002E-3</c:v>
                </c:pt>
                <c:pt idx="9">
                  <c:v>-3.3969999999999998E-3</c:v>
                </c:pt>
                <c:pt idx="10">
                  <c:v>-2.0500000000000002E-3</c:v>
                </c:pt>
                <c:pt idx="11">
                  <c:v>-1.237E-3</c:v>
                </c:pt>
                <c:pt idx="12">
                  <c:v>-7.4700000000000005E-4</c:v>
                </c:pt>
                <c:pt idx="13">
                  <c:v>-4.5100000000000001E-4</c:v>
                </c:pt>
                <c:pt idx="14">
                  <c:v>-2.72E-4</c:v>
                </c:pt>
                <c:pt idx="15">
                  <c:v>-1.64E-4</c:v>
                </c:pt>
                <c:pt idx="16">
                  <c:v>-9.8999999999999994E-5</c:v>
                </c:pt>
                <c:pt idx="17">
                  <c:v>-6.0000000000000002E-5</c:v>
                </c:pt>
                <c:pt idx="18">
                  <c:v>-3.6000000000000001E-5</c:v>
                </c:pt>
              </c:numCache>
            </c:numRef>
          </c:xVal>
          <c:yVal>
            <c:numRef>
              <c:f>Wykresy!$E$4:$E$63</c:f>
              <c:numCache>
                <c:formatCode>General</c:formatCode>
                <c:ptCount val="60"/>
                <c:pt idx="0">
                  <c:v>2</c:v>
                </c:pt>
                <c:pt idx="1">
                  <c:v>0.5</c:v>
                </c:pt>
                <c:pt idx="2">
                  <c:v>0.27500000000000002</c:v>
                </c:pt>
                <c:pt idx="3">
                  <c:v>0.169012</c:v>
                </c:pt>
                <c:pt idx="4">
                  <c:v>0.102217</c:v>
                </c:pt>
                <c:pt idx="5">
                  <c:v>6.1765E-2</c:v>
                </c:pt>
                <c:pt idx="6">
                  <c:v>3.7290999999999998E-2</c:v>
                </c:pt>
                <c:pt idx="7">
                  <c:v>2.2509999999999999E-2</c:v>
                </c:pt>
                <c:pt idx="8">
                  <c:v>1.3587E-2</c:v>
                </c:pt>
                <c:pt idx="9">
                  <c:v>8.201E-3</c:v>
                </c:pt>
                <c:pt idx="10">
                  <c:v>4.9500000000000004E-3</c:v>
                </c:pt>
                <c:pt idx="11">
                  <c:v>2.9870000000000001E-3</c:v>
                </c:pt>
                <c:pt idx="12">
                  <c:v>1.8029999999999999E-3</c:v>
                </c:pt>
                <c:pt idx="13">
                  <c:v>1.088E-3</c:v>
                </c:pt>
                <c:pt idx="14">
                  <c:v>6.5700000000000003E-4</c:v>
                </c:pt>
                <c:pt idx="15">
                  <c:v>3.9599999999999998E-4</c:v>
                </c:pt>
                <c:pt idx="16">
                  <c:v>2.3900000000000001E-4</c:v>
                </c:pt>
                <c:pt idx="17">
                  <c:v>1.44E-4</c:v>
                </c:pt>
                <c:pt idx="18">
                  <c:v>8.7000000000000001E-5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1ACD-40FF-925E-46AA4C981AE5}"/>
            </c:ext>
          </c:extLst>
        </c:ser>
        <c:ser>
          <c:idx val="0"/>
          <c:order val="6"/>
          <c:tx>
            <c:v>SD zmienny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Wykresy!$F$4:$F$63</c:f>
              <c:numCache>
                <c:formatCode>General</c:formatCode>
                <c:ptCount val="60"/>
                <c:pt idx="0">
                  <c:v>2</c:v>
                </c:pt>
                <c:pt idx="1">
                  <c:v>-0.222219</c:v>
                </c:pt>
                <c:pt idx="2">
                  <c:v>3.5708999999999998E-2</c:v>
                </c:pt>
                <c:pt idx="3">
                  <c:v>-9.7660000000000004E-3</c:v>
                </c:pt>
                <c:pt idx="4">
                  <c:v>1.8580000000000001E-3</c:v>
                </c:pt>
                <c:pt idx="5">
                  <c:v>-5.1199999999999998E-4</c:v>
                </c:pt>
                <c:pt idx="6">
                  <c:v>9.7E-5</c:v>
                </c:pt>
                <c:pt idx="7">
                  <c:v>-2.6999999999999999E-5</c:v>
                </c:pt>
                <c:pt idx="8">
                  <c:v>5.0000000000000004E-6</c:v>
                </c:pt>
              </c:numCache>
            </c:numRef>
          </c:xVal>
          <c:yVal>
            <c:numRef>
              <c:f>Wykresy!$G$4:$G$63</c:f>
              <c:numCache>
                <c:formatCode>General</c:formatCode>
                <c:ptCount val="60"/>
                <c:pt idx="0">
                  <c:v>2</c:v>
                </c:pt>
                <c:pt idx="1">
                  <c:v>0.41270099999999998</c:v>
                </c:pt>
                <c:pt idx="2">
                  <c:v>5.142E-2</c:v>
                </c:pt>
                <c:pt idx="3">
                  <c:v>1.8953999999999999E-2</c:v>
                </c:pt>
                <c:pt idx="4">
                  <c:v>2.686E-3</c:v>
                </c:pt>
                <c:pt idx="5">
                  <c:v>9.9299999999999996E-4</c:v>
                </c:pt>
                <c:pt idx="6">
                  <c:v>1.4100000000000001E-4</c:v>
                </c:pt>
                <c:pt idx="7">
                  <c:v>5.1999999999999997E-5</c:v>
                </c:pt>
                <c:pt idx="8">
                  <c:v>6.9999999999999999E-6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1ACD-40FF-925E-46AA4C981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4716432"/>
        <c:axId val="1594714992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1"/>
                <c:tx>
                  <c:v>CG</c:v>
                </c:tx>
                <c:xVal>
                  <c:numRef>
                    <c:extLst>
                      <c:ext uri="{02D57815-91ED-43cb-92C2-25804820EDAC}">
                        <c15:formulaRef>
                          <c15:sqref>Wykresy!$H$4:$H$63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1.58</c:v>
                      </c:pt>
                      <c:pt idx="2">
                        <c:v>1.410561</c:v>
                      </c:pt>
                      <c:pt idx="3">
                        <c:v>1.2546809999999999</c:v>
                      </c:pt>
                      <c:pt idx="4">
                        <c:v>1.124342</c:v>
                      </c:pt>
                      <c:pt idx="5">
                        <c:v>1.0117670000000001</c:v>
                      </c:pt>
                      <c:pt idx="6">
                        <c:v>0.90291600000000005</c:v>
                      </c:pt>
                      <c:pt idx="7">
                        <c:v>0.78082799999999997</c:v>
                      </c:pt>
                      <c:pt idx="8">
                        <c:v>0.62366299999999997</c:v>
                      </c:pt>
                      <c:pt idx="9">
                        <c:v>0.41953400000000002</c:v>
                      </c:pt>
                      <c:pt idx="10">
                        <c:v>0.20857700000000001</c:v>
                      </c:pt>
                      <c:pt idx="11">
                        <c:v>-1.6990999999999999E-2</c:v>
                      </c:pt>
                      <c:pt idx="12">
                        <c:v>-0.45032299999999997</c:v>
                      </c:pt>
                      <c:pt idx="13">
                        <c:v>-1.728939</c:v>
                      </c:pt>
                      <c:pt idx="14">
                        <c:v>-3.414193</c:v>
                      </c:pt>
                      <c:pt idx="15">
                        <c:v>-14856.973575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Wykresy!$I$4:$I$63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1.7</c:v>
                      </c:pt>
                      <c:pt idx="2">
                        <c:v>1.3764179999999999</c:v>
                      </c:pt>
                      <c:pt idx="3">
                        <c:v>0.94840500000000005</c:v>
                      </c:pt>
                      <c:pt idx="4">
                        <c:v>0.54014600000000002</c:v>
                      </c:pt>
                      <c:pt idx="5">
                        <c:v>0.21272199999999999</c:v>
                      </c:pt>
                      <c:pt idx="6">
                        <c:v>-3.4669999999999999E-2</c:v>
                      </c:pt>
                      <c:pt idx="7">
                        <c:v>-0.23047500000000001</c:v>
                      </c:pt>
                      <c:pt idx="8">
                        <c:v>-0.40361799999999998</c:v>
                      </c:pt>
                      <c:pt idx="9">
                        <c:v>-0.55506100000000003</c:v>
                      </c:pt>
                      <c:pt idx="10">
                        <c:v>-0.64640299999999995</c:v>
                      </c:pt>
                      <c:pt idx="11">
                        <c:v>-0.686608</c:v>
                      </c:pt>
                      <c:pt idx="12">
                        <c:v>-0.70106000000000002</c:v>
                      </c:pt>
                      <c:pt idx="13">
                        <c:v>-0.65464299999999997</c:v>
                      </c:pt>
                      <c:pt idx="14">
                        <c:v>-0.43917</c:v>
                      </c:pt>
                      <c:pt idx="15">
                        <c:v>1900.905342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13-1ACD-40FF-925E-46AA4C981AE5}"/>
                  </c:ext>
                </c:extLst>
              </c15:ser>
            </c15:filteredScatterSeries>
            <c15:filteredScatterSeries>
              <c15:ser>
                <c:idx val="5"/>
                <c:order val="2"/>
                <c:tx>
                  <c:v>Newton</c:v>
                </c:tx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Wykresy!$N$4:$N$102</c15:sqref>
                        </c15:formulaRef>
                      </c:ext>
                    </c:extLst>
                    <c:numCache>
                      <c:formatCode>General</c:formatCode>
                      <c:ptCount val="99"/>
                      <c:pt idx="0">
                        <c:v>2</c:v>
                      </c:pt>
                      <c:pt idx="1">
                        <c:v>1.991843</c:v>
                      </c:pt>
                      <c:pt idx="2">
                        <c:v>1.9838750000000001</c:v>
                      </c:pt>
                      <c:pt idx="3">
                        <c:v>1.976094</c:v>
                      </c:pt>
                      <c:pt idx="4">
                        <c:v>1.9684980000000001</c:v>
                      </c:pt>
                      <c:pt idx="5">
                        <c:v>1.9610860000000001</c:v>
                      </c:pt>
                      <c:pt idx="6">
                        <c:v>1.953856</c:v>
                      </c:pt>
                      <c:pt idx="7">
                        <c:v>1.9468049999999999</c:v>
                      </c:pt>
                      <c:pt idx="8">
                        <c:v>1.9399329999999999</c:v>
                      </c:pt>
                      <c:pt idx="9">
                        <c:v>1.9332370000000001</c:v>
                      </c:pt>
                      <c:pt idx="10">
                        <c:v>1.926715</c:v>
                      </c:pt>
                      <c:pt idx="11">
                        <c:v>1.920366</c:v>
                      </c:pt>
                      <c:pt idx="12">
                        <c:v>1.9141859999999999</c:v>
                      </c:pt>
                      <c:pt idx="13">
                        <c:v>1.908174</c:v>
                      </c:pt>
                      <c:pt idx="14">
                        <c:v>1.902328</c:v>
                      </c:pt>
                      <c:pt idx="15">
                        <c:v>1.8966460000000001</c:v>
                      </c:pt>
                      <c:pt idx="16">
                        <c:v>1.8911249999999999</c:v>
                      </c:pt>
                      <c:pt idx="17">
                        <c:v>1.8857630000000001</c:v>
                      </c:pt>
                      <c:pt idx="18">
                        <c:v>1.880558</c:v>
                      </c:pt>
                      <c:pt idx="19">
                        <c:v>1.875507</c:v>
                      </c:pt>
                      <c:pt idx="20">
                        <c:v>1.870608</c:v>
                      </c:pt>
                      <c:pt idx="21">
                        <c:v>1.865858</c:v>
                      </c:pt>
                      <c:pt idx="22">
                        <c:v>1.861256</c:v>
                      </c:pt>
                      <c:pt idx="23">
                        <c:v>1.856797</c:v>
                      </c:pt>
                      <c:pt idx="24">
                        <c:v>1.852481</c:v>
                      </c:pt>
                      <c:pt idx="25">
                        <c:v>1.848303</c:v>
                      </c:pt>
                      <c:pt idx="26">
                        <c:v>1.8442620000000001</c:v>
                      </c:pt>
                      <c:pt idx="27">
                        <c:v>1.840355</c:v>
                      </c:pt>
                      <c:pt idx="28">
                        <c:v>1.836578</c:v>
                      </c:pt>
                      <c:pt idx="29">
                        <c:v>1.8329299999999999</c:v>
                      </c:pt>
                      <c:pt idx="30">
                        <c:v>1.8294079999999999</c:v>
                      </c:pt>
                      <c:pt idx="31">
                        <c:v>1.8260080000000001</c:v>
                      </c:pt>
                      <c:pt idx="32">
                        <c:v>1.822727</c:v>
                      </c:pt>
                      <c:pt idx="33">
                        <c:v>1.819564</c:v>
                      </c:pt>
                      <c:pt idx="34">
                        <c:v>1.8165150000000001</c:v>
                      </c:pt>
                      <c:pt idx="35">
                        <c:v>1.813577</c:v>
                      </c:pt>
                      <c:pt idx="36">
                        <c:v>1.8107470000000001</c:v>
                      </c:pt>
                      <c:pt idx="37">
                        <c:v>1.8080229999999999</c:v>
                      </c:pt>
                      <c:pt idx="38">
                        <c:v>1.805402</c:v>
                      </c:pt>
                      <c:pt idx="39">
                        <c:v>1.80288</c:v>
                      </c:pt>
                      <c:pt idx="40">
                        <c:v>1.8004560000000001</c:v>
                      </c:pt>
                      <c:pt idx="41">
                        <c:v>1.7981259999999999</c:v>
                      </c:pt>
                      <c:pt idx="42">
                        <c:v>1.795887</c:v>
                      </c:pt>
                      <c:pt idx="43">
                        <c:v>1.7937369999999999</c:v>
                      </c:pt>
                      <c:pt idx="44">
                        <c:v>1.7916730000000001</c:v>
                      </c:pt>
                      <c:pt idx="45">
                        <c:v>1.7896920000000001</c:v>
                      </c:pt>
                      <c:pt idx="46">
                        <c:v>1.787792</c:v>
                      </c:pt>
                      <c:pt idx="47">
                        <c:v>1.7859700000000001</c:v>
                      </c:pt>
                      <c:pt idx="48">
                        <c:v>1.7842229999999999</c:v>
                      </c:pt>
                      <c:pt idx="49">
                        <c:v>1.7825489999999999</c:v>
                      </c:pt>
                      <c:pt idx="50">
                        <c:v>1.780945</c:v>
                      </c:pt>
                      <c:pt idx="51">
                        <c:v>1.779409</c:v>
                      </c:pt>
                      <c:pt idx="52">
                        <c:v>1.777938</c:v>
                      </c:pt>
                      <c:pt idx="53">
                        <c:v>1.7765299999999999</c:v>
                      </c:pt>
                      <c:pt idx="54">
                        <c:v>1.775183</c:v>
                      </c:pt>
                      <c:pt idx="55">
                        <c:v>1.773895</c:v>
                      </c:pt>
                      <c:pt idx="56">
                        <c:v>1.7726630000000001</c:v>
                      </c:pt>
                      <c:pt idx="57">
                        <c:v>1.771485</c:v>
                      </c:pt>
                      <c:pt idx="58">
                        <c:v>1.770359</c:v>
                      </c:pt>
                      <c:pt idx="59">
                        <c:v>1.7692829999999999</c:v>
                      </c:pt>
                      <c:pt idx="60">
                        <c:v>1.768256</c:v>
                      </c:pt>
                      <c:pt idx="61">
                        <c:v>1.767274</c:v>
                      </c:pt>
                      <c:pt idx="62">
                        <c:v>1.766337</c:v>
                      </c:pt>
                      <c:pt idx="63">
                        <c:v>1.765442</c:v>
                      </c:pt>
                      <c:pt idx="64">
                        <c:v>1.764588</c:v>
                      </c:pt>
                      <c:pt idx="65">
                        <c:v>1.763773</c:v>
                      </c:pt>
                      <c:pt idx="66">
                        <c:v>1.7629950000000001</c:v>
                      </c:pt>
                      <c:pt idx="67">
                        <c:v>1.7622530000000001</c:v>
                      </c:pt>
                      <c:pt idx="68">
                        <c:v>1.7615460000000001</c:v>
                      </c:pt>
                      <c:pt idx="69">
                        <c:v>1.7608710000000001</c:v>
                      </c:pt>
                      <c:pt idx="70">
                        <c:v>1.7602279999999999</c:v>
                      </c:pt>
                      <c:pt idx="71">
                        <c:v>1.7596149999999999</c:v>
                      </c:pt>
                      <c:pt idx="72">
                        <c:v>1.7590300000000001</c:v>
                      </c:pt>
                      <c:pt idx="73">
                        <c:v>1.7584740000000001</c:v>
                      </c:pt>
                      <c:pt idx="74">
                        <c:v>1.757943</c:v>
                      </c:pt>
                      <c:pt idx="75">
                        <c:v>1.7574369999999999</c:v>
                      </c:pt>
                      <c:pt idx="76">
                        <c:v>1.756956</c:v>
                      </c:pt>
                      <c:pt idx="77">
                        <c:v>1.756497</c:v>
                      </c:pt>
                      <c:pt idx="78">
                        <c:v>1.75606</c:v>
                      </c:pt>
                      <c:pt idx="79">
                        <c:v>1.755644</c:v>
                      </c:pt>
                      <c:pt idx="80">
                        <c:v>1.7552479999999999</c:v>
                      </c:pt>
                      <c:pt idx="81">
                        <c:v>1.7548710000000001</c:v>
                      </c:pt>
                      <c:pt idx="82">
                        <c:v>1.7545120000000001</c:v>
                      </c:pt>
                      <c:pt idx="83">
                        <c:v>1.7541709999999999</c:v>
                      </c:pt>
                      <c:pt idx="84">
                        <c:v>1.753846</c:v>
                      </c:pt>
                      <c:pt idx="85">
                        <c:v>1.753536</c:v>
                      </c:pt>
                      <c:pt idx="86">
                        <c:v>1.753242</c:v>
                      </c:pt>
                      <c:pt idx="87">
                        <c:v>1.752961</c:v>
                      </c:pt>
                      <c:pt idx="88">
                        <c:v>1.7526949999999999</c:v>
                      </c:pt>
                      <c:pt idx="89">
                        <c:v>1.7524409999999999</c:v>
                      </c:pt>
                      <c:pt idx="90">
                        <c:v>1.7522</c:v>
                      </c:pt>
                      <c:pt idx="91">
                        <c:v>1.75197</c:v>
                      </c:pt>
                      <c:pt idx="92">
                        <c:v>1.751752</c:v>
                      </c:pt>
                      <c:pt idx="93">
                        <c:v>1.751544</c:v>
                      </c:pt>
                      <c:pt idx="94">
                        <c:v>1.751347</c:v>
                      </c:pt>
                      <c:pt idx="95">
                        <c:v>1.7511589999999999</c:v>
                      </c:pt>
                      <c:pt idx="96">
                        <c:v>1.75098</c:v>
                      </c:pt>
                      <c:pt idx="97">
                        <c:v>1.7508109999999999</c:v>
                      </c:pt>
                      <c:pt idx="98">
                        <c:v>1.7506489999999999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Wykresy!$O$4:$O$102</c15:sqref>
                        </c15:formulaRef>
                      </c:ext>
                    </c:extLst>
                    <c:numCache>
                      <c:formatCode>General</c:formatCode>
                      <c:ptCount val="99"/>
                      <c:pt idx="0">
                        <c:v>2</c:v>
                      </c:pt>
                      <c:pt idx="1">
                        <c:v>1.854079</c:v>
                      </c:pt>
                      <c:pt idx="2">
                        <c:v>1.7155629999999999</c:v>
                      </c:pt>
                      <c:pt idx="3">
                        <c:v>1.5840780000000001</c:v>
                      </c:pt>
                      <c:pt idx="4">
                        <c:v>1.4592700000000001</c:v>
                      </c:pt>
                      <c:pt idx="5">
                        <c:v>1.3408</c:v>
                      </c:pt>
                      <c:pt idx="6">
                        <c:v>1.228348</c:v>
                      </c:pt>
                      <c:pt idx="7">
                        <c:v>1.1216090000000001</c:v>
                      </c:pt>
                      <c:pt idx="8">
                        <c:v>1.020295</c:v>
                      </c:pt>
                      <c:pt idx="9">
                        <c:v>0.92413000000000001</c:v>
                      </c:pt>
                      <c:pt idx="10">
                        <c:v>0.83285299999999995</c:v>
                      </c:pt>
                      <c:pt idx="11">
                        <c:v>0.74621700000000002</c:v>
                      </c:pt>
                      <c:pt idx="12">
                        <c:v>0.66398699999999999</c:v>
                      </c:pt>
                      <c:pt idx="13">
                        <c:v>0.58593899999999999</c:v>
                      </c:pt>
                      <c:pt idx="14">
                        <c:v>0.51186100000000001</c:v>
                      </c:pt>
                      <c:pt idx="15">
                        <c:v>0.44155100000000003</c:v>
                      </c:pt>
                      <c:pt idx="16">
                        <c:v>0.37481799999999998</c:v>
                      </c:pt>
                      <c:pt idx="17">
                        <c:v>0.31147900000000001</c:v>
                      </c:pt>
                      <c:pt idx="18">
                        <c:v>0.25136399999999998</c:v>
                      </c:pt>
                      <c:pt idx="19">
                        <c:v>0.19430700000000001</c:v>
                      </c:pt>
                      <c:pt idx="20">
                        <c:v>0.140154</c:v>
                      </c:pt>
                      <c:pt idx="21">
                        <c:v>8.8756000000000002E-2</c:v>
                      </c:pt>
                      <c:pt idx="22">
                        <c:v>3.9973000000000002E-2</c:v>
                      </c:pt>
                      <c:pt idx="23">
                        <c:v>-6.3280000000000003E-3</c:v>
                      </c:pt>
                      <c:pt idx="24">
                        <c:v>-5.0272999999999998E-2</c:v>
                      </c:pt>
                      <c:pt idx="25">
                        <c:v>-9.1982999999999995E-2</c:v>
                      </c:pt>
                      <c:pt idx="26">
                        <c:v>-0.13157099999999999</c:v>
                      </c:pt>
                      <c:pt idx="27">
                        <c:v>-0.16914499999999999</c:v>
                      </c:pt>
                      <c:pt idx="28">
                        <c:v>-0.20480899999999999</c:v>
                      </c:pt>
                      <c:pt idx="29">
                        <c:v>-0.23865900000000001</c:v>
                      </c:pt>
                      <c:pt idx="30">
                        <c:v>-0.27078799999999997</c:v>
                      </c:pt>
                      <c:pt idx="31">
                        <c:v>-0.30128300000000002</c:v>
                      </c:pt>
                      <c:pt idx="32">
                        <c:v>-0.33022899999999999</c:v>
                      </c:pt>
                      <c:pt idx="33">
                        <c:v>-0.35770400000000002</c:v>
                      </c:pt>
                      <c:pt idx="34">
                        <c:v>-0.38378299999999999</c:v>
                      </c:pt>
                      <c:pt idx="35">
                        <c:v>-0.40853800000000001</c:v>
                      </c:pt>
                      <c:pt idx="36">
                        <c:v>-0.43203599999999998</c:v>
                      </c:pt>
                      <c:pt idx="37">
                        <c:v>-0.45434099999999999</c:v>
                      </c:pt>
                      <c:pt idx="38">
                        <c:v>-0.47551399999999999</c:v>
                      </c:pt>
                      <c:pt idx="39">
                        <c:v>-0.495612</c:v>
                      </c:pt>
                      <c:pt idx="40">
                        <c:v>-0.51469200000000004</c:v>
                      </c:pt>
                      <c:pt idx="41">
                        <c:v>-0.53280300000000003</c:v>
                      </c:pt>
                      <c:pt idx="42">
                        <c:v>-0.54999699999999996</c:v>
                      </c:pt>
                      <c:pt idx="43">
                        <c:v>-0.56631900000000002</c:v>
                      </c:pt>
                      <c:pt idx="44">
                        <c:v>-0.58181499999999997</c:v>
                      </c:pt>
                      <c:pt idx="45">
                        <c:v>-0.59652499999999997</c:v>
                      </c:pt>
                      <c:pt idx="46">
                        <c:v>-0.61049100000000001</c:v>
                      </c:pt>
                      <c:pt idx="47">
                        <c:v>-0.62375000000000003</c:v>
                      </c:pt>
                      <c:pt idx="48">
                        <c:v>-0.63633899999999999</c:v>
                      </c:pt>
                      <c:pt idx="49">
                        <c:v>-0.64829000000000003</c:v>
                      </c:pt>
                      <c:pt idx="50">
                        <c:v>-0.65963700000000003</c:v>
                      </c:pt>
                      <c:pt idx="51">
                        <c:v>-0.67041099999999998</c:v>
                      </c:pt>
                      <c:pt idx="52">
                        <c:v>-0.68064000000000002</c:v>
                      </c:pt>
                      <c:pt idx="53">
                        <c:v>-0.69035299999999999</c:v>
                      </c:pt>
                      <c:pt idx="54">
                        <c:v>-0.69957499999999995</c:v>
                      </c:pt>
                      <c:pt idx="55">
                        <c:v>-0.70833199999999996</c:v>
                      </c:pt>
                      <c:pt idx="56">
                        <c:v>-0.71664700000000003</c:v>
                      </c:pt>
                      <c:pt idx="57">
                        <c:v>-0.72454200000000002</c:v>
                      </c:pt>
                      <c:pt idx="58">
                        <c:v>-0.732039</c:v>
                      </c:pt>
                      <c:pt idx="59">
                        <c:v>-0.73915799999999998</c:v>
                      </c:pt>
                      <c:pt idx="60">
                        <c:v>-0.74591799999999997</c:v>
                      </c:pt>
                      <c:pt idx="61">
                        <c:v>-0.75233799999999995</c:v>
                      </c:pt>
                      <c:pt idx="62">
                        <c:v>-0.75843400000000005</c:v>
                      </c:pt>
                      <c:pt idx="63">
                        <c:v>-0.76422400000000001</c:v>
                      </c:pt>
                      <c:pt idx="64">
                        <c:v>-0.76972099999999999</c:v>
                      </c:pt>
                      <c:pt idx="65">
                        <c:v>-0.77494300000000005</c:v>
                      </c:pt>
                      <c:pt idx="66">
                        <c:v>-0.77990099999999996</c:v>
                      </c:pt>
                      <c:pt idx="67">
                        <c:v>-0.78461000000000003</c:v>
                      </c:pt>
                      <c:pt idx="68">
                        <c:v>-0.78908199999999995</c:v>
                      </c:pt>
                      <c:pt idx="69">
                        <c:v>-0.79332899999999995</c:v>
                      </c:pt>
                      <c:pt idx="70">
                        <c:v>-0.79736300000000004</c:v>
                      </c:pt>
                      <c:pt idx="71">
                        <c:v>-0.80119399999999996</c:v>
                      </c:pt>
                      <c:pt idx="72">
                        <c:v>-0.80483199999999999</c:v>
                      </c:pt>
                      <c:pt idx="73">
                        <c:v>-0.80828800000000001</c:v>
                      </c:pt>
                      <c:pt idx="74">
                        <c:v>-0.81157000000000001</c:v>
                      </c:pt>
                      <c:pt idx="75">
                        <c:v>-0.81468700000000005</c:v>
                      </c:pt>
                      <c:pt idx="76">
                        <c:v>-0.81764800000000004</c:v>
                      </c:pt>
                      <c:pt idx="77">
                        <c:v>-0.82045999999999997</c:v>
                      </c:pt>
                      <c:pt idx="78">
                        <c:v>-0.82313099999999995</c:v>
                      </c:pt>
                      <c:pt idx="79">
                        <c:v>-0.82566799999999996</c:v>
                      </c:pt>
                      <c:pt idx="80">
                        <c:v>-0.82807799999999998</c:v>
                      </c:pt>
                      <c:pt idx="81">
                        <c:v>-0.83036699999999997</c:v>
                      </c:pt>
                      <c:pt idx="82">
                        <c:v>-0.83254099999999998</c:v>
                      </c:pt>
                      <c:pt idx="83">
                        <c:v>-0.83460599999999996</c:v>
                      </c:pt>
                      <c:pt idx="84">
                        <c:v>-0.83656699999999995</c:v>
                      </c:pt>
                      <c:pt idx="85">
                        <c:v>-0.83843000000000001</c:v>
                      </c:pt>
                      <c:pt idx="86">
                        <c:v>-0.84019999999999995</c:v>
                      </c:pt>
                      <c:pt idx="87">
                        <c:v>-0.84188099999999999</c:v>
                      </c:pt>
                      <c:pt idx="88">
                        <c:v>-0.84347700000000003</c:v>
                      </c:pt>
                      <c:pt idx="89">
                        <c:v>-0.84499400000000002</c:v>
                      </c:pt>
                      <c:pt idx="90">
                        <c:v>-0.84643500000000005</c:v>
                      </c:pt>
                      <c:pt idx="91">
                        <c:v>-0.84780299999999997</c:v>
                      </c:pt>
                      <c:pt idx="92">
                        <c:v>-0.84910300000000005</c:v>
                      </c:pt>
                      <c:pt idx="93">
                        <c:v>-0.85033800000000004</c:v>
                      </c:pt>
                      <c:pt idx="94">
                        <c:v>-0.85151100000000002</c:v>
                      </c:pt>
                      <c:pt idx="95">
                        <c:v>-0.85262499999999997</c:v>
                      </c:pt>
                      <c:pt idx="96">
                        <c:v>-0.853684</c:v>
                      </c:pt>
                      <c:pt idx="97">
                        <c:v>-0.85468900000000003</c:v>
                      </c:pt>
                      <c:pt idx="98">
                        <c:v>-0.85564399999999996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1ACD-40FF-925E-46AA4C981AE5}"/>
                  </c:ext>
                </c:extLst>
              </c15:ser>
            </c15:filteredScatterSeries>
            <c15:filteredScatterSeries>
              <c15:ser>
                <c:idx val="7"/>
                <c:order val="4"/>
                <c:tx>
                  <c:v>CG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Wykresy!$J$4:$J$63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-0.1</c:v>
                      </c:pt>
                      <c:pt idx="2">
                        <c:v>-0.14222399999999999</c:v>
                      </c:pt>
                      <c:pt idx="3">
                        <c:v>-8.0907999999999994E-2</c:v>
                      </c:pt>
                      <c:pt idx="4">
                        <c:v>-8.9560000000000004E-3</c:v>
                      </c:pt>
                      <c:pt idx="5">
                        <c:v>-4.2789999999999998E-3</c:v>
                      </c:pt>
                      <c:pt idx="6">
                        <c:v>-2.0709999999999999E-3</c:v>
                      </c:pt>
                      <c:pt idx="7">
                        <c:v>-8.0800000000000002E-4</c:v>
                      </c:pt>
                      <c:pt idx="8">
                        <c:v>-2.22E-4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Wykresy!$K$4:$K$63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0.5</c:v>
                      </c:pt>
                      <c:pt idx="2">
                        <c:v>0.26344499999999998</c:v>
                      </c:pt>
                      <c:pt idx="3">
                        <c:v>9.9824999999999997E-2</c:v>
                      </c:pt>
                      <c:pt idx="4">
                        <c:v>2.5961000000000001E-2</c:v>
                      </c:pt>
                      <c:pt idx="5">
                        <c:v>1.2947999999999999E-2</c:v>
                      </c:pt>
                      <c:pt idx="6">
                        <c:v>4.2979999999999997E-3</c:v>
                      </c:pt>
                      <c:pt idx="7">
                        <c:v>1.6230000000000001E-3</c:v>
                      </c:pt>
                      <c:pt idx="8">
                        <c:v>6.2299999999999996E-4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1ACD-40FF-925E-46AA4C981AE5}"/>
                  </c:ext>
                </c:extLst>
              </c15:ser>
            </c15:filteredScatterSeries>
            <c15:filteredScatterSeries>
              <c15:ser>
                <c:idx val="8"/>
                <c:order val="5"/>
                <c:tx>
                  <c:v>Newton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Wykresy!$P$4:$P$102</c15:sqref>
                        </c15:formulaRef>
                      </c:ext>
                    </c:extLst>
                    <c:numCache>
                      <c:formatCode>General</c:formatCode>
                      <c:ptCount val="99"/>
                      <c:pt idx="0">
                        <c:v>2</c:v>
                      </c:pt>
                      <c:pt idx="1">
                        <c:v>1.9592149999999999</c:v>
                      </c:pt>
                      <c:pt idx="2">
                        <c:v>1.923295</c:v>
                      </c:pt>
                      <c:pt idx="3">
                        <c:v>1.8920030000000001</c:v>
                      </c:pt>
                      <c:pt idx="4">
                        <c:v>1.8650659999999999</c:v>
                      </c:pt>
                      <c:pt idx="5">
                        <c:v>1.842176</c:v>
                      </c:pt>
                      <c:pt idx="6">
                        <c:v>1.8229880000000001</c:v>
                      </c:pt>
                      <c:pt idx="7">
                        <c:v>1.8071250000000001</c:v>
                      </c:pt>
                      <c:pt idx="8">
                        <c:v>1.794189</c:v>
                      </c:pt>
                      <c:pt idx="9">
                        <c:v>1.7837780000000001</c:v>
                      </c:pt>
                      <c:pt idx="10">
                        <c:v>1.7755000000000001</c:v>
                      </c:pt>
                      <c:pt idx="11">
                        <c:v>1.7689889999999999</c:v>
                      </c:pt>
                      <c:pt idx="12">
                        <c:v>1.763916</c:v>
                      </c:pt>
                      <c:pt idx="13">
                        <c:v>1.759995</c:v>
                      </c:pt>
                      <c:pt idx="14">
                        <c:v>1.7569840000000001</c:v>
                      </c:pt>
                      <c:pt idx="15">
                        <c:v>1.7546839999999999</c:v>
                      </c:pt>
                      <c:pt idx="16">
                        <c:v>1.752934</c:v>
                      </c:pt>
                      <c:pt idx="17">
                        <c:v>1.7516080000000001</c:v>
                      </c:pt>
                      <c:pt idx="18">
                        <c:v>1.750605</c:v>
                      </c:pt>
                      <c:pt idx="19">
                        <c:v>1.7498480000000001</c:v>
                      </c:pt>
                      <c:pt idx="20">
                        <c:v>1.7492780000000001</c:v>
                      </c:pt>
                      <c:pt idx="21">
                        <c:v>1.748848</c:v>
                      </c:pt>
                      <c:pt idx="22">
                        <c:v>1.7485250000000001</c:v>
                      </c:pt>
                      <c:pt idx="23">
                        <c:v>1.748283</c:v>
                      </c:pt>
                      <c:pt idx="24">
                        <c:v>1.7481009999999999</c:v>
                      </c:pt>
                      <c:pt idx="25">
                        <c:v>1.7479640000000001</c:v>
                      </c:pt>
                      <c:pt idx="26">
                        <c:v>1.7478610000000001</c:v>
                      </c:pt>
                      <c:pt idx="27">
                        <c:v>1.747784</c:v>
                      </c:pt>
                      <c:pt idx="28">
                        <c:v>1.7477259999999999</c:v>
                      </c:pt>
                      <c:pt idx="29">
                        <c:v>1.7476830000000001</c:v>
                      </c:pt>
                      <c:pt idx="30">
                        <c:v>1.7476499999999999</c:v>
                      </c:pt>
                      <c:pt idx="31">
                        <c:v>1.7476259999999999</c:v>
                      </c:pt>
                      <c:pt idx="32">
                        <c:v>1.7476069999999999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Wykresy!$Q$4:$Q$102</c15:sqref>
                        </c15:formulaRef>
                      </c:ext>
                    </c:extLst>
                    <c:numCache>
                      <c:formatCode>General</c:formatCode>
                      <c:ptCount val="99"/>
                      <c:pt idx="0">
                        <c:v>2</c:v>
                      </c:pt>
                      <c:pt idx="1">
                        <c:v>1.2703930000000001</c:v>
                      </c:pt>
                      <c:pt idx="2">
                        <c:v>0.72585200000000005</c:v>
                      </c:pt>
                      <c:pt idx="3">
                        <c:v>0.31962400000000002</c:v>
                      </c:pt>
                      <c:pt idx="4">
                        <c:v>1.6685999999999999E-2</c:v>
                      </c:pt>
                      <c:pt idx="5">
                        <c:v>-0.209174</c:v>
                      </c:pt>
                      <c:pt idx="6">
                        <c:v>-0.377558</c:v>
                      </c:pt>
                      <c:pt idx="7">
                        <c:v>-0.50311099999999997</c:v>
                      </c:pt>
                      <c:pt idx="8">
                        <c:v>-0.59675599999999995</c:v>
                      </c:pt>
                      <c:pt idx="9">
                        <c:v>-0.66663499999999998</c:v>
                      </c:pt>
                      <c:pt idx="10">
                        <c:v>-0.71880900000000003</c:v>
                      </c:pt>
                      <c:pt idx="11">
                        <c:v>-0.75778900000000005</c:v>
                      </c:pt>
                      <c:pt idx="12">
                        <c:v>-0.78692899999999999</c:v>
                      </c:pt>
                      <c:pt idx="13">
                        <c:v>-0.80872599999999994</c:v>
                      </c:pt>
                      <c:pt idx="14">
                        <c:v>-0.82503800000000005</c:v>
                      </c:pt>
                      <c:pt idx="15">
                        <c:v>-0.837252</c:v>
                      </c:pt>
                      <c:pt idx="16">
                        <c:v>-0.84639900000000001</c:v>
                      </c:pt>
                      <c:pt idx="17">
                        <c:v>-0.85325300000000004</c:v>
                      </c:pt>
                      <c:pt idx="18">
                        <c:v>-0.85838899999999996</c:v>
                      </c:pt>
                      <c:pt idx="19">
                        <c:v>-0.86223899999999998</c:v>
                      </c:pt>
                      <c:pt idx="20">
                        <c:v>-0.86512500000000003</c:v>
                      </c:pt>
                      <c:pt idx="21">
                        <c:v>-0.86728899999999998</c:v>
                      </c:pt>
                      <c:pt idx="22">
                        <c:v>-0.86891099999999999</c:v>
                      </c:pt>
                      <c:pt idx="23">
                        <c:v>-0.87012800000000001</c:v>
                      </c:pt>
                      <c:pt idx="24">
                        <c:v>-0.87104000000000004</c:v>
                      </c:pt>
                      <c:pt idx="25">
                        <c:v>-0.87172400000000005</c:v>
                      </c:pt>
                      <c:pt idx="26">
                        <c:v>-0.87223700000000004</c:v>
                      </c:pt>
                      <c:pt idx="27">
                        <c:v>-0.87262200000000001</c:v>
                      </c:pt>
                      <c:pt idx="28">
                        <c:v>-0.87291099999999999</c:v>
                      </c:pt>
                      <c:pt idx="29">
                        <c:v>-0.87312699999999999</c:v>
                      </c:pt>
                      <c:pt idx="30">
                        <c:v>-0.87328899999999998</c:v>
                      </c:pt>
                      <c:pt idx="31">
                        <c:v>-0.87341100000000005</c:v>
                      </c:pt>
                      <c:pt idx="32">
                        <c:v>-0.873502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1ACD-40FF-925E-46AA4C981AE5}"/>
                  </c:ext>
                </c:extLst>
              </c15:ser>
            </c15:filteredScatterSeries>
            <c15:filteredScatterSeries>
              <c15:ser>
                <c:idx val="1"/>
                <c:order val="7"/>
                <c:tx>
                  <c:v>CG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Wykresy!$L$4:$L$63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-0.222219</c:v>
                      </c:pt>
                      <c:pt idx="2">
                        <c:v>1.8286E-2</c:v>
                      </c:pt>
                      <c:pt idx="3">
                        <c:v>-1.4300000000000001E-3</c:v>
                      </c:pt>
                      <c:pt idx="4">
                        <c:v>2.3900000000000001E-4</c:v>
                      </c:pt>
                      <c:pt idx="5">
                        <c:v>-1.2E-5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Wykresy!$M$4:$M$63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0.41270099999999998</c:v>
                      </c:pt>
                      <c:pt idx="2">
                        <c:v>1.8963000000000001E-2</c:v>
                      </c:pt>
                      <c:pt idx="3">
                        <c:v>2.591E-3</c:v>
                      </c:pt>
                      <c:pt idx="4">
                        <c:v>3.9199999999999999E-4</c:v>
                      </c:pt>
                      <c:pt idx="5">
                        <c:v>1.5999999999999999E-5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1ACD-40FF-925E-46AA4C981AE5}"/>
                  </c:ext>
                </c:extLst>
              </c15:ser>
            </c15:filteredScatterSeries>
            <c15:filteredScatterSeries>
              <c15:ser>
                <c:idx val="2"/>
                <c:order val="8"/>
                <c:tx>
                  <c:v>Newton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Wykresy!$R$4:$R$102</c15:sqref>
                        </c15:formulaRef>
                      </c:ext>
                    </c:extLst>
                    <c:numCache>
                      <c:formatCode>General</c:formatCode>
                      <c:ptCount val="99"/>
                      <c:pt idx="0">
                        <c:v>2</c:v>
                      </c:pt>
                      <c:pt idx="1">
                        <c:v>1.8349740000000001</c:v>
                      </c:pt>
                      <c:pt idx="2">
                        <c:v>1.7481500000000001</c:v>
                      </c:pt>
                      <c:pt idx="3">
                        <c:v>1.7475529999999999</c:v>
                      </c:pt>
                      <c:pt idx="4">
                        <c:v>1.747552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Wykresy!$S$4:$S$102</c15:sqref>
                        </c15:formulaRef>
                      </c:ext>
                    </c:extLst>
                    <c:numCache>
                      <c:formatCode>General</c:formatCode>
                      <c:ptCount val="99"/>
                      <c:pt idx="0">
                        <c:v>2</c:v>
                      </c:pt>
                      <c:pt idx="1">
                        <c:v>-0.95213800000000004</c:v>
                      </c:pt>
                      <c:pt idx="2">
                        <c:v>-0.86686099999999999</c:v>
                      </c:pt>
                      <c:pt idx="3">
                        <c:v>-0.87377700000000003</c:v>
                      </c:pt>
                      <c:pt idx="4">
                        <c:v>-0.873776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1ACD-40FF-925E-46AA4C981AE5}"/>
                  </c:ext>
                </c:extLst>
              </c15:ser>
            </c15:filteredScatterSeries>
          </c:ext>
        </c:extLst>
      </c:scatterChart>
      <c:valAx>
        <c:axId val="1594716432"/>
        <c:scaling>
          <c:orientation val="minMax"/>
          <c:max val="2"/>
          <c:min val="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x1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714992"/>
        <c:crosses val="autoZero"/>
        <c:crossBetween val="midCat"/>
      </c:valAx>
      <c:valAx>
        <c:axId val="1594714992"/>
        <c:scaling>
          <c:orientation val="minMax"/>
          <c:max val="2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x2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716432"/>
        <c:crosses val="autoZero"/>
        <c:crossBetween val="midCat"/>
      </c:valAx>
      <c:spPr>
        <a:blipFill dpi="0" rotWithShape="1">
          <a:blip xmlns:r="http://schemas.openxmlformats.org/officeDocument/2006/relationships" r:embed="rId1">
            <a:alphaModFix amt="30000"/>
          </a:blip>
          <a:srcRect/>
          <a:stretch>
            <a:fillRect/>
          </a:stretch>
        </a:blip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CG</a:t>
            </a:r>
            <a:endParaRPr lang="en-GB" baseline="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4"/>
          <c:order val="1"/>
          <c:tx>
            <c:v>CG 0.05</c:v>
          </c:tx>
          <c:xVal>
            <c:numRef>
              <c:f>Wykresy!$H$4:$H$63</c:f>
              <c:numCache>
                <c:formatCode>General</c:formatCode>
                <c:ptCount val="60"/>
                <c:pt idx="0">
                  <c:v>2</c:v>
                </c:pt>
                <c:pt idx="1">
                  <c:v>1.58</c:v>
                </c:pt>
                <c:pt idx="2">
                  <c:v>1.410561</c:v>
                </c:pt>
                <c:pt idx="3">
                  <c:v>1.2546809999999999</c:v>
                </c:pt>
                <c:pt idx="4">
                  <c:v>1.124342</c:v>
                </c:pt>
                <c:pt idx="5">
                  <c:v>1.0117670000000001</c:v>
                </c:pt>
                <c:pt idx="6">
                  <c:v>0.90291600000000005</c:v>
                </c:pt>
                <c:pt idx="7">
                  <c:v>0.78082799999999997</c:v>
                </c:pt>
                <c:pt idx="8">
                  <c:v>0.62366299999999997</c:v>
                </c:pt>
                <c:pt idx="9">
                  <c:v>0.41953400000000002</c:v>
                </c:pt>
                <c:pt idx="10">
                  <c:v>0.20857700000000001</c:v>
                </c:pt>
                <c:pt idx="11">
                  <c:v>-1.6990999999999999E-2</c:v>
                </c:pt>
                <c:pt idx="12">
                  <c:v>-0.45032299999999997</c:v>
                </c:pt>
                <c:pt idx="13">
                  <c:v>-1.728939</c:v>
                </c:pt>
                <c:pt idx="14">
                  <c:v>-3.414193</c:v>
                </c:pt>
                <c:pt idx="15">
                  <c:v>-14856.973575</c:v>
                </c:pt>
              </c:numCache>
              <c:extLst xmlns:c15="http://schemas.microsoft.com/office/drawing/2012/chart"/>
            </c:numRef>
          </c:xVal>
          <c:yVal>
            <c:numRef>
              <c:f>Wykresy!$I$4:$I$63</c:f>
              <c:numCache>
                <c:formatCode>General</c:formatCode>
                <c:ptCount val="60"/>
                <c:pt idx="0">
                  <c:v>2</c:v>
                </c:pt>
                <c:pt idx="1">
                  <c:v>1.7</c:v>
                </c:pt>
                <c:pt idx="2">
                  <c:v>1.3764179999999999</c:v>
                </c:pt>
                <c:pt idx="3">
                  <c:v>0.94840500000000005</c:v>
                </c:pt>
                <c:pt idx="4">
                  <c:v>0.54014600000000002</c:v>
                </c:pt>
                <c:pt idx="5">
                  <c:v>0.21272199999999999</c:v>
                </c:pt>
                <c:pt idx="6">
                  <c:v>-3.4669999999999999E-2</c:v>
                </c:pt>
                <c:pt idx="7">
                  <c:v>-0.23047500000000001</c:v>
                </c:pt>
                <c:pt idx="8">
                  <c:v>-0.40361799999999998</c:v>
                </c:pt>
                <c:pt idx="9">
                  <c:v>-0.55506100000000003</c:v>
                </c:pt>
                <c:pt idx="10">
                  <c:v>-0.64640299999999995</c:v>
                </c:pt>
                <c:pt idx="11">
                  <c:v>-0.686608</c:v>
                </c:pt>
                <c:pt idx="12">
                  <c:v>-0.70106000000000002</c:v>
                </c:pt>
                <c:pt idx="13">
                  <c:v>-0.65464299999999997</c:v>
                </c:pt>
                <c:pt idx="14">
                  <c:v>-0.43917</c:v>
                </c:pt>
                <c:pt idx="15">
                  <c:v>1900.905342</c:v>
                </c:pt>
              </c:numCache>
              <c:extLst xmlns:c15="http://schemas.microsoft.com/office/drawing/2012/chart"/>
            </c:numRef>
          </c:yVal>
          <c:smooth val="1"/>
          <c:extLst>
            <c:ext xmlns:c16="http://schemas.microsoft.com/office/drawing/2014/chart" uri="{C3380CC4-5D6E-409C-BE32-E72D297353CC}">
              <c16:uniqueId val="{00000003-A111-4F38-89AB-A53AC365B455}"/>
            </c:ext>
          </c:extLst>
        </c:ser>
        <c:ser>
          <c:idx val="7"/>
          <c:order val="4"/>
          <c:tx>
            <c:v>CG 0.25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xVal>
            <c:numRef>
              <c:f>Wykresy!$J$4:$J$63</c:f>
              <c:numCache>
                <c:formatCode>General</c:formatCode>
                <c:ptCount val="60"/>
                <c:pt idx="0">
                  <c:v>2</c:v>
                </c:pt>
                <c:pt idx="1">
                  <c:v>-0.1</c:v>
                </c:pt>
                <c:pt idx="2">
                  <c:v>-0.14222399999999999</c:v>
                </c:pt>
                <c:pt idx="3">
                  <c:v>-8.0907999999999994E-2</c:v>
                </c:pt>
                <c:pt idx="4">
                  <c:v>-8.9560000000000004E-3</c:v>
                </c:pt>
                <c:pt idx="5">
                  <c:v>-4.2789999999999998E-3</c:v>
                </c:pt>
                <c:pt idx="6">
                  <c:v>-2.0709999999999999E-3</c:v>
                </c:pt>
                <c:pt idx="7">
                  <c:v>-8.0800000000000002E-4</c:v>
                </c:pt>
                <c:pt idx="8">
                  <c:v>-2.22E-4</c:v>
                </c:pt>
              </c:numCache>
              <c:extLst xmlns:c15="http://schemas.microsoft.com/office/drawing/2012/chart"/>
            </c:numRef>
          </c:xVal>
          <c:yVal>
            <c:numRef>
              <c:f>Wykresy!$K$4:$K$63</c:f>
              <c:numCache>
                <c:formatCode>General</c:formatCode>
                <c:ptCount val="60"/>
                <c:pt idx="0">
                  <c:v>2</c:v>
                </c:pt>
                <c:pt idx="1">
                  <c:v>0.5</c:v>
                </c:pt>
                <c:pt idx="2">
                  <c:v>0.26344499999999998</c:v>
                </c:pt>
                <c:pt idx="3">
                  <c:v>9.9824999999999997E-2</c:v>
                </c:pt>
                <c:pt idx="4">
                  <c:v>2.5961000000000001E-2</c:v>
                </c:pt>
                <c:pt idx="5">
                  <c:v>1.2947999999999999E-2</c:v>
                </c:pt>
                <c:pt idx="6">
                  <c:v>4.2979999999999997E-3</c:v>
                </c:pt>
                <c:pt idx="7">
                  <c:v>1.6230000000000001E-3</c:v>
                </c:pt>
                <c:pt idx="8">
                  <c:v>6.2299999999999996E-4</c:v>
                </c:pt>
              </c:numCache>
              <c:extLst xmlns:c15="http://schemas.microsoft.com/office/drawing/2012/chart"/>
            </c:numRef>
          </c:yVal>
          <c:smooth val="1"/>
          <c:extLst>
            <c:ext xmlns:c16="http://schemas.microsoft.com/office/drawing/2014/chart" uri="{C3380CC4-5D6E-409C-BE32-E72D297353CC}">
              <c16:uniqueId val="{00000005-A111-4F38-89AB-A53AC365B455}"/>
            </c:ext>
          </c:extLst>
        </c:ser>
        <c:ser>
          <c:idx val="1"/>
          <c:order val="7"/>
          <c:tx>
            <c:v>CG zmienny</c:v>
          </c:tx>
          <c:spPr>
            <a:ln w="19050" cap="rnd">
              <a:solidFill>
                <a:schemeClr val="accent3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5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Wykresy!$L$4:$L$63</c:f>
              <c:numCache>
                <c:formatCode>General</c:formatCode>
                <c:ptCount val="60"/>
                <c:pt idx="0">
                  <c:v>2</c:v>
                </c:pt>
                <c:pt idx="1">
                  <c:v>-0.222219</c:v>
                </c:pt>
                <c:pt idx="2">
                  <c:v>1.8286E-2</c:v>
                </c:pt>
                <c:pt idx="3">
                  <c:v>-1.4300000000000001E-3</c:v>
                </c:pt>
                <c:pt idx="4">
                  <c:v>2.3900000000000001E-4</c:v>
                </c:pt>
                <c:pt idx="5">
                  <c:v>-1.2E-5</c:v>
                </c:pt>
              </c:numCache>
              <c:extLst xmlns:c15="http://schemas.microsoft.com/office/drawing/2012/chart"/>
            </c:numRef>
          </c:xVal>
          <c:yVal>
            <c:numRef>
              <c:f>Wykresy!$M$4:$M$63</c:f>
              <c:numCache>
                <c:formatCode>General</c:formatCode>
                <c:ptCount val="60"/>
                <c:pt idx="0">
                  <c:v>2</c:v>
                </c:pt>
                <c:pt idx="1">
                  <c:v>0.41270099999999998</c:v>
                </c:pt>
                <c:pt idx="2">
                  <c:v>1.8963000000000001E-2</c:v>
                </c:pt>
                <c:pt idx="3">
                  <c:v>2.591E-3</c:v>
                </c:pt>
                <c:pt idx="4">
                  <c:v>3.9199999999999999E-4</c:v>
                </c:pt>
                <c:pt idx="5">
                  <c:v>1.5999999999999999E-5</c:v>
                </c:pt>
              </c:numCache>
              <c:extLst xmlns:c15="http://schemas.microsoft.com/office/drawing/2012/chart"/>
            </c:numRef>
          </c:yVal>
          <c:smooth val="1"/>
          <c:extLst>
            <c:ext xmlns:c16="http://schemas.microsoft.com/office/drawing/2014/chart" uri="{C3380CC4-5D6E-409C-BE32-E72D297353CC}">
              <c16:uniqueId val="{00000007-A111-4F38-89AB-A53AC365B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4716432"/>
        <c:axId val="1594714992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0"/>
                <c:tx>
                  <c:v>SD 0.05</c:v>
                </c:tx>
                <c:xVal>
                  <c:numRef>
                    <c:extLst>
                      <c:ext uri="{02D57815-91ED-43cb-92C2-25804820EDAC}">
                        <c15:formulaRef>
                          <c15:sqref>Wykresy!$B$4:$B$63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1.58</c:v>
                      </c:pt>
                      <c:pt idx="2">
                        <c:v>1.5149760000000001</c:v>
                      </c:pt>
                      <c:pt idx="3">
                        <c:v>1.470599</c:v>
                      </c:pt>
                      <c:pt idx="4">
                        <c:v>1.43895</c:v>
                      </c:pt>
                      <c:pt idx="5">
                        <c:v>1.416706</c:v>
                      </c:pt>
                      <c:pt idx="6">
                        <c:v>1.4022209999999999</c:v>
                      </c:pt>
                      <c:pt idx="7">
                        <c:v>1.39463</c:v>
                      </c:pt>
                      <c:pt idx="8">
                        <c:v>1.3934770000000001</c:v>
                      </c:pt>
                      <c:pt idx="9">
                        <c:v>1.3985240000000001</c:v>
                      </c:pt>
                      <c:pt idx="10">
                        <c:v>1.4096280000000001</c:v>
                      </c:pt>
                      <c:pt idx="11">
                        <c:v>1.4266209999999999</c:v>
                      </c:pt>
                      <c:pt idx="12">
                        <c:v>1.4491860000000001</c:v>
                      </c:pt>
                      <c:pt idx="13">
                        <c:v>1.476718</c:v>
                      </c:pt>
                      <c:pt idx="14">
                        <c:v>1.5081739999999999</c:v>
                      </c:pt>
                      <c:pt idx="15">
                        <c:v>1.5419830000000001</c:v>
                      </c:pt>
                      <c:pt idx="16">
                        <c:v>1.5760879999999999</c:v>
                      </c:pt>
                      <c:pt idx="17">
                        <c:v>1.6082259999999999</c:v>
                      </c:pt>
                      <c:pt idx="18">
                        <c:v>1.6364179999999999</c:v>
                      </c:pt>
                      <c:pt idx="19">
                        <c:v>1.6594850000000001</c:v>
                      </c:pt>
                      <c:pt idx="20">
                        <c:v>1.6772769999999999</c:v>
                      </c:pt>
                      <c:pt idx="21">
                        <c:v>1.6904699999999999</c:v>
                      </c:pt>
                      <c:pt idx="22">
                        <c:v>1.7001189999999999</c:v>
                      </c:pt>
                      <c:pt idx="23">
                        <c:v>1.7072579999999999</c:v>
                      </c:pt>
                      <c:pt idx="24">
                        <c:v>1.712699</c:v>
                      </c:pt>
                      <c:pt idx="25">
                        <c:v>1.7170019999999999</c:v>
                      </c:pt>
                      <c:pt idx="26">
                        <c:v>1.720529</c:v>
                      </c:pt>
                      <c:pt idx="27">
                        <c:v>1.7235050000000001</c:v>
                      </c:pt>
                      <c:pt idx="28">
                        <c:v>1.7260679999999999</c:v>
                      </c:pt>
                      <c:pt idx="29">
                        <c:v>1.728307</c:v>
                      </c:pt>
                      <c:pt idx="30">
                        <c:v>1.7302820000000001</c:v>
                      </c:pt>
                      <c:pt idx="31">
                        <c:v>1.7320340000000001</c:v>
                      </c:pt>
                      <c:pt idx="32">
                        <c:v>1.7335940000000001</c:v>
                      </c:pt>
                      <c:pt idx="33">
                        <c:v>1.734988</c:v>
                      </c:pt>
                      <c:pt idx="34">
                        <c:v>1.7362359999999999</c:v>
                      </c:pt>
                      <c:pt idx="35">
                        <c:v>1.7373540000000001</c:v>
                      </c:pt>
                      <c:pt idx="36">
                        <c:v>1.7383580000000001</c:v>
                      </c:pt>
                      <c:pt idx="37">
                        <c:v>1.7392590000000001</c:v>
                      </c:pt>
                      <c:pt idx="38">
                        <c:v>1.74007</c:v>
                      </c:pt>
                      <c:pt idx="39">
                        <c:v>1.740799</c:v>
                      </c:pt>
                      <c:pt idx="40">
                        <c:v>1.7414559999999999</c:v>
                      </c:pt>
                      <c:pt idx="41">
                        <c:v>1.7420469999999999</c:v>
                      </c:pt>
                      <c:pt idx="42">
                        <c:v>1.74258</c:v>
                      </c:pt>
                      <c:pt idx="43">
                        <c:v>1.743061</c:v>
                      </c:pt>
                      <c:pt idx="44">
                        <c:v>1.7434940000000001</c:v>
                      </c:pt>
                      <c:pt idx="45">
                        <c:v>1.7438849999999999</c:v>
                      </c:pt>
                      <c:pt idx="46">
                        <c:v>1.744238</c:v>
                      </c:pt>
                      <c:pt idx="47">
                        <c:v>1.7445569999999999</c:v>
                      </c:pt>
                      <c:pt idx="48">
                        <c:v>1.7448440000000001</c:v>
                      </c:pt>
                      <c:pt idx="49">
                        <c:v>1.745104</c:v>
                      </c:pt>
                      <c:pt idx="50">
                        <c:v>1.745339</c:v>
                      </c:pt>
                      <c:pt idx="51">
                        <c:v>1.7455510000000001</c:v>
                      </c:pt>
                      <c:pt idx="52">
                        <c:v>1.7457419999999999</c:v>
                      </c:pt>
                      <c:pt idx="53">
                        <c:v>1.745916</c:v>
                      </c:pt>
                      <c:pt idx="54">
                        <c:v>1.7460720000000001</c:v>
                      </c:pt>
                      <c:pt idx="55">
                        <c:v>1.7462139999999999</c:v>
                      </c:pt>
                      <c:pt idx="56">
                        <c:v>1.7463409999999999</c:v>
                      </c:pt>
                      <c:pt idx="57">
                        <c:v>1.7464569999999999</c:v>
                      </c:pt>
                      <c:pt idx="58">
                        <c:v>1.7465619999999999</c:v>
                      </c:pt>
                      <c:pt idx="59">
                        <c:v>1.746656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Wykresy!$C$4:$C$63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1.7</c:v>
                      </c:pt>
                      <c:pt idx="2">
                        <c:v>1.4510000000000001</c:v>
                      </c:pt>
                      <c:pt idx="3">
                        <c:v>1.230151</c:v>
                      </c:pt>
                      <c:pt idx="4">
                        <c:v>1.033606</c:v>
                      </c:pt>
                      <c:pt idx="5">
                        <c:v>0.85829800000000001</c:v>
                      </c:pt>
                      <c:pt idx="6">
                        <c:v>0.70163299999999995</c:v>
                      </c:pt>
                      <c:pt idx="7">
                        <c:v>0.56135900000000005</c:v>
                      </c:pt>
                      <c:pt idx="8">
                        <c:v>0.43549100000000002</c:v>
                      </c:pt>
                      <c:pt idx="9">
                        <c:v>0.322268</c:v>
                      </c:pt>
                      <c:pt idx="10">
                        <c:v>0.22011500000000001</c:v>
                      </c:pt>
                      <c:pt idx="11">
                        <c:v>0.12762200000000001</c:v>
                      </c:pt>
                      <c:pt idx="12">
                        <c:v>4.3528999999999998E-2</c:v>
                      </c:pt>
                      <c:pt idx="13">
                        <c:v>-3.3283E-2</c:v>
                      </c:pt>
                      <c:pt idx="14">
                        <c:v>-0.10379099999999999</c:v>
                      </c:pt>
                      <c:pt idx="15">
                        <c:v>-0.16882</c:v>
                      </c:pt>
                      <c:pt idx="16">
                        <c:v>-0.22903699999999999</c:v>
                      </c:pt>
                      <c:pt idx="17">
                        <c:v>-0.28493800000000002</c:v>
                      </c:pt>
                      <c:pt idx="18">
                        <c:v>-0.33685599999999999</c:v>
                      </c:pt>
                      <c:pt idx="19">
                        <c:v>-0.38499100000000003</c:v>
                      </c:pt>
                      <c:pt idx="20">
                        <c:v>-0.42946600000000001</c:v>
                      </c:pt>
                      <c:pt idx="21">
                        <c:v>-0.470383</c:v>
                      </c:pt>
                      <c:pt idx="22">
                        <c:v>-0.50786900000000001</c:v>
                      </c:pt>
                      <c:pt idx="23">
                        <c:v>-0.54208800000000001</c:v>
                      </c:pt>
                      <c:pt idx="24">
                        <c:v>-0.57324200000000003</c:v>
                      </c:pt>
                      <c:pt idx="25">
                        <c:v>-0.601553</c:v>
                      </c:pt>
                      <c:pt idx="26">
                        <c:v>-0.627247</c:v>
                      </c:pt>
                      <c:pt idx="27">
                        <c:v>-0.65054900000000004</c:v>
                      </c:pt>
                      <c:pt idx="28">
                        <c:v>-0.67166899999999996</c:v>
                      </c:pt>
                      <c:pt idx="29">
                        <c:v>-0.69080600000000003</c:v>
                      </c:pt>
                      <c:pt idx="30">
                        <c:v>-0.70814100000000002</c:v>
                      </c:pt>
                      <c:pt idx="31">
                        <c:v>-0.72384099999999996</c:v>
                      </c:pt>
                      <c:pt idx="32">
                        <c:v>-0.73805799999999999</c:v>
                      </c:pt>
                      <c:pt idx="33">
                        <c:v>-0.75093200000000004</c:v>
                      </c:pt>
                      <c:pt idx="34">
                        <c:v>-0.76258800000000004</c:v>
                      </c:pt>
                      <c:pt idx="35">
                        <c:v>-0.77314099999999997</c:v>
                      </c:pt>
                      <c:pt idx="36">
                        <c:v>-0.78269500000000003</c:v>
                      </c:pt>
                      <c:pt idx="37">
                        <c:v>-0.79134300000000002</c:v>
                      </c:pt>
                      <c:pt idx="38">
                        <c:v>-0.79917199999999999</c:v>
                      </c:pt>
                      <c:pt idx="39">
                        <c:v>-0.80625800000000003</c:v>
                      </c:pt>
                      <c:pt idx="40">
                        <c:v>-0.81267199999999995</c:v>
                      </c:pt>
                      <c:pt idx="41">
                        <c:v>-0.81847800000000004</c:v>
                      </c:pt>
                      <c:pt idx="42">
                        <c:v>-0.82373200000000002</c:v>
                      </c:pt>
                      <c:pt idx="43">
                        <c:v>-0.828488</c:v>
                      </c:pt>
                      <c:pt idx="44">
                        <c:v>-0.83279199999999998</c:v>
                      </c:pt>
                      <c:pt idx="45">
                        <c:v>-0.83668799999999999</c:v>
                      </c:pt>
                      <c:pt idx="46">
                        <c:v>-0.84021299999999999</c:v>
                      </c:pt>
                      <c:pt idx="47">
                        <c:v>-0.84340400000000004</c:v>
                      </c:pt>
                      <c:pt idx="48">
                        <c:v>-0.84629100000000002</c:v>
                      </c:pt>
                      <c:pt idx="49">
                        <c:v>-0.84890399999999999</c:v>
                      </c:pt>
                      <c:pt idx="50">
                        <c:v>-0.85126900000000005</c:v>
                      </c:pt>
                      <c:pt idx="51">
                        <c:v>-0.85340899999999997</c:v>
                      </c:pt>
                      <c:pt idx="52">
                        <c:v>-0.85534600000000005</c:v>
                      </c:pt>
                      <c:pt idx="53">
                        <c:v>-0.85709800000000003</c:v>
                      </c:pt>
                      <c:pt idx="54">
                        <c:v>-0.858684</c:v>
                      </c:pt>
                      <c:pt idx="55">
                        <c:v>-0.86012</c:v>
                      </c:pt>
                      <c:pt idx="56">
                        <c:v>-0.86141800000000002</c:v>
                      </c:pt>
                      <c:pt idx="57">
                        <c:v>-0.86259300000000005</c:v>
                      </c:pt>
                      <c:pt idx="58">
                        <c:v>-0.86365700000000001</c:v>
                      </c:pt>
                      <c:pt idx="59">
                        <c:v>-0.86461900000000003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A111-4F38-89AB-A53AC365B455}"/>
                  </c:ext>
                </c:extLst>
              </c15:ser>
            </c15:filteredScatterSeries>
            <c15:filteredScatterSeries>
              <c15:ser>
                <c:idx val="5"/>
                <c:order val="2"/>
                <c:tx>
                  <c:v>Newton</c:v>
                </c:tx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Wykresy!$N$4:$N$102</c15:sqref>
                        </c15:formulaRef>
                      </c:ext>
                    </c:extLst>
                    <c:numCache>
                      <c:formatCode>General</c:formatCode>
                      <c:ptCount val="99"/>
                      <c:pt idx="0">
                        <c:v>2</c:v>
                      </c:pt>
                      <c:pt idx="1">
                        <c:v>1.991843</c:v>
                      </c:pt>
                      <c:pt idx="2">
                        <c:v>1.9838750000000001</c:v>
                      </c:pt>
                      <c:pt idx="3">
                        <c:v>1.976094</c:v>
                      </c:pt>
                      <c:pt idx="4">
                        <c:v>1.9684980000000001</c:v>
                      </c:pt>
                      <c:pt idx="5">
                        <c:v>1.9610860000000001</c:v>
                      </c:pt>
                      <c:pt idx="6">
                        <c:v>1.953856</c:v>
                      </c:pt>
                      <c:pt idx="7">
                        <c:v>1.9468049999999999</c:v>
                      </c:pt>
                      <c:pt idx="8">
                        <c:v>1.9399329999999999</c:v>
                      </c:pt>
                      <c:pt idx="9">
                        <c:v>1.9332370000000001</c:v>
                      </c:pt>
                      <c:pt idx="10">
                        <c:v>1.926715</c:v>
                      </c:pt>
                      <c:pt idx="11">
                        <c:v>1.920366</c:v>
                      </c:pt>
                      <c:pt idx="12">
                        <c:v>1.9141859999999999</c:v>
                      </c:pt>
                      <c:pt idx="13">
                        <c:v>1.908174</c:v>
                      </c:pt>
                      <c:pt idx="14">
                        <c:v>1.902328</c:v>
                      </c:pt>
                      <c:pt idx="15">
                        <c:v>1.8966460000000001</c:v>
                      </c:pt>
                      <c:pt idx="16">
                        <c:v>1.8911249999999999</c:v>
                      </c:pt>
                      <c:pt idx="17">
                        <c:v>1.8857630000000001</c:v>
                      </c:pt>
                      <c:pt idx="18">
                        <c:v>1.880558</c:v>
                      </c:pt>
                      <c:pt idx="19">
                        <c:v>1.875507</c:v>
                      </c:pt>
                      <c:pt idx="20">
                        <c:v>1.870608</c:v>
                      </c:pt>
                      <c:pt idx="21">
                        <c:v>1.865858</c:v>
                      </c:pt>
                      <c:pt idx="22">
                        <c:v>1.861256</c:v>
                      </c:pt>
                      <c:pt idx="23">
                        <c:v>1.856797</c:v>
                      </c:pt>
                      <c:pt idx="24">
                        <c:v>1.852481</c:v>
                      </c:pt>
                      <c:pt idx="25">
                        <c:v>1.848303</c:v>
                      </c:pt>
                      <c:pt idx="26">
                        <c:v>1.8442620000000001</c:v>
                      </c:pt>
                      <c:pt idx="27">
                        <c:v>1.840355</c:v>
                      </c:pt>
                      <c:pt idx="28">
                        <c:v>1.836578</c:v>
                      </c:pt>
                      <c:pt idx="29">
                        <c:v>1.8329299999999999</c:v>
                      </c:pt>
                      <c:pt idx="30">
                        <c:v>1.8294079999999999</c:v>
                      </c:pt>
                      <c:pt idx="31">
                        <c:v>1.8260080000000001</c:v>
                      </c:pt>
                      <c:pt idx="32">
                        <c:v>1.822727</c:v>
                      </c:pt>
                      <c:pt idx="33">
                        <c:v>1.819564</c:v>
                      </c:pt>
                      <c:pt idx="34">
                        <c:v>1.8165150000000001</c:v>
                      </c:pt>
                      <c:pt idx="35">
                        <c:v>1.813577</c:v>
                      </c:pt>
                      <c:pt idx="36">
                        <c:v>1.8107470000000001</c:v>
                      </c:pt>
                      <c:pt idx="37">
                        <c:v>1.8080229999999999</c:v>
                      </c:pt>
                      <c:pt idx="38">
                        <c:v>1.805402</c:v>
                      </c:pt>
                      <c:pt idx="39">
                        <c:v>1.80288</c:v>
                      </c:pt>
                      <c:pt idx="40">
                        <c:v>1.8004560000000001</c:v>
                      </c:pt>
                      <c:pt idx="41">
                        <c:v>1.7981259999999999</c:v>
                      </c:pt>
                      <c:pt idx="42">
                        <c:v>1.795887</c:v>
                      </c:pt>
                      <c:pt idx="43">
                        <c:v>1.7937369999999999</c:v>
                      </c:pt>
                      <c:pt idx="44">
                        <c:v>1.7916730000000001</c:v>
                      </c:pt>
                      <c:pt idx="45">
                        <c:v>1.7896920000000001</c:v>
                      </c:pt>
                      <c:pt idx="46">
                        <c:v>1.787792</c:v>
                      </c:pt>
                      <c:pt idx="47">
                        <c:v>1.7859700000000001</c:v>
                      </c:pt>
                      <c:pt idx="48">
                        <c:v>1.7842229999999999</c:v>
                      </c:pt>
                      <c:pt idx="49">
                        <c:v>1.7825489999999999</c:v>
                      </c:pt>
                      <c:pt idx="50">
                        <c:v>1.780945</c:v>
                      </c:pt>
                      <c:pt idx="51">
                        <c:v>1.779409</c:v>
                      </c:pt>
                      <c:pt idx="52">
                        <c:v>1.777938</c:v>
                      </c:pt>
                      <c:pt idx="53">
                        <c:v>1.7765299999999999</c:v>
                      </c:pt>
                      <c:pt idx="54">
                        <c:v>1.775183</c:v>
                      </c:pt>
                      <c:pt idx="55">
                        <c:v>1.773895</c:v>
                      </c:pt>
                      <c:pt idx="56">
                        <c:v>1.7726630000000001</c:v>
                      </c:pt>
                      <c:pt idx="57">
                        <c:v>1.771485</c:v>
                      </c:pt>
                      <c:pt idx="58">
                        <c:v>1.770359</c:v>
                      </c:pt>
                      <c:pt idx="59">
                        <c:v>1.7692829999999999</c:v>
                      </c:pt>
                      <c:pt idx="60">
                        <c:v>1.768256</c:v>
                      </c:pt>
                      <c:pt idx="61">
                        <c:v>1.767274</c:v>
                      </c:pt>
                      <c:pt idx="62">
                        <c:v>1.766337</c:v>
                      </c:pt>
                      <c:pt idx="63">
                        <c:v>1.765442</c:v>
                      </c:pt>
                      <c:pt idx="64">
                        <c:v>1.764588</c:v>
                      </c:pt>
                      <c:pt idx="65">
                        <c:v>1.763773</c:v>
                      </c:pt>
                      <c:pt idx="66">
                        <c:v>1.7629950000000001</c:v>
                      </c:pt>
                      <c:pt idx="67">
                        <c:v>1.7622530000000001</c:v>
                      </c:pt>
                      <c:pt idx="68">
                        <c:v>1.7615460000000001</c:v>
                      </c:pt>
                      <c:pt idx="69">
                        <c:v>1.7608710000000001</c:v>
                      </c:pt>
                      <c:pt idx="70">
                        <c:v>1.7602279999999999</c:v>
                      </c:pt>
                      <c:pt idx="71">
                        <c:v>1.7596149999999999</c:v>
                      </c:pt>
                      <c:pt idx="72">
                        <c:v>1.7590300000000001</c:v>
                      </c:pt>
                      <c:pt idx="73">
                        <c:v>1.7584740000000001</c:v>
                      </c:pt>
                      <c:pt idx="74">
                        <c:v>1.757943</c:v>
                      </c:pt>
                      <c:pt idx="75">
                        <c:v>1.7574369999999999</c:v>
                      </c:pt>
                      <c:pt idx="76">
                        <c:v>1.756956</c:v>
                      </c:pt>
                      <c:pt idx="77">
                        <c:v>1.756497</c:v>
                      </c:pt>
                      <c:pt idx="78">
                        <c:v>1.75606</c:v>
                      </c:pt>
                      <c:pt idx="79">
                        <c:v>1.755644</c:v>
                      </c:pt>
                      <c:pt idx="80">
                        <c:v>1.7552479999999999</c:v>
                      </c:pt>
                      <c:pt idx="81">
                        <c:v>1.7548710000000001</c:v>
                      </c:pt>
                      <c:pt idx="82">
                        <c:v>1.7545120000000001</c:v>
                      </c:pt>
                      <c:pt idx="83">
                        <c:v>1.7541709999999999</c:v>
                      </c:pt>
                      <c:pt idx="84">
                        <c:v>1.753846</c:v>
                      </c:pt>
                      <c:pt idx="85">
                        <c:v>1.753536</c:v>
                      </c:pt>
                      <c:pt idx="86">
                        <c:v>1.753242</c:v>
                      </c:pt>
                      <c:pt idx="87">
                        <c:v>1.752961</c:v>
                      </c:pt>
                      <c:pt idx="88">
                        <c:v>1.7526949999999999</c:v>
                      </c:pt>
                      <c:pt idx="89">
                        <c:v>1.7524409999999999</c:v>
                      </c:pt>
                      <c:pt idx="90">
                        <c:v>1.7522</c:v>
                      </c:pt>
                      <c:pt idx="91">
                        <c:v>1.75197</c:v>
                      </c:pt>
                      <c:pt idx="92">
                        <c:v>1.751752</c:v>
                      </c:pt>
                      <c:pt idx="93">
                        <c:v>1.751544</c:v>
                      </c:pt>
                      <c:pt idx="94">
                        <c:v>1.751347</c:v>
                      </c:pt>
                      <c:pt idx="95">
                        <c:v>1.7511589999999999</c:v>
                      </c:pt>
                      <c:pt idx="96">
                        <c:v>1.75098</c:v>
                      </c:pt>
                      <c:pt idx="97">
                        <c:v>1.7508109999999999</c:v>
                      </c:pt>
                      <c:pt idx="98">
                        <c:v>1.7506489999999999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Wykresy!$O$4:$O$102</c15:sqref>
                        </c15:formulaRef>
                      </c:ext>
                    </c:extLst>
                    <c:numCache>
                      <c:formatCode>General</c:formatCode>
                      <c:ptCount val="99"/>
                      <c:pt idx="0">
                        <c:v>2</c:v>
                      </c:pt>
                      <c:pt idx="1">
                        <c:v>1.854079</c:v>
                      </c:pt>
                      <c:pt idx="2">
                        <c:v>1.7155629999999999</c:v>
                      </c:pt>
                      <c:pt idx="3">
                        <c:v>1.5840780000000001</c:v>
                      </c:pt>
                      <c:pt idx="4">
                        <c:v>1.4592700000000001</c:v>
                      </c:pt>
                      <c:pt idx="5">
                        <c:v>1.3408</c:v>
                      </c:pt>
                      <c:pt idx="6">
                        <c:v>1.228348</c:v>
                      </c:pt>
                      <c:pt idx="7">
                        <c:v>1.1216090000000001</c:v>
                      </c:pt>
                      <c:pt idx="8">
                        <c:v>1.020295</c:v>
                      </c:pt>
                      <c:pt idx="9">
                        <c:v>0.92413000000000001</c:v>
                      </c:pt>
                      <c:pt idx="10">
                        <c:v>0.83285299999999995</c:v>
                      </c:pt>
                      <c:pt idx="11">
                        <c:v>0.74621700000000002</c:v>
                      </c:pt>
                      <c:pt idx="12">
                        <c:v>0.66398699999999999</c:v>
                      </c:pt>
                      <c:pt idx="13">
                        <c:v>0.58593899999999999</c:v>
                      </c:pt>
                      <c:pt idx="14">
                        <c:v>0.51186100000000001</c:v>
                      </c:pt>
                      <c:pt idx="15">
                        <c:v>0.44155100000000003</c:v>
                      </c:pt>
                      <c:pt idx="16">
                        <c:v>0.37481799999999998</c:v>
                      </c:pt>
                      <c:pt idx="17">
                        <c:v>0.31147900000000001</c:v>
                      </c:pt>
                      <c:pt idx="18">
                        <c:v>0.25136399999999998</c:v>
                      </c:pt>
                      <c:pt idx="19">
                        <c:v>0.19430700000000001</c:v>
                      </c:pt>
                      <c:pt idx="20">
                        <c:v>0.140154</c:v>
                      </c:pt>
                      <c:pt idx="21">
                        <c:v>8.8756000000000002E-2</c:v>
                      </c:pt>
                      <c:pt idx="22">
                        <c:v>3.9973000000000002E-2</c:v>
                      </c:pt>
                      <c:pt idx="23">
                        <c:v>-6.3280000000000003E-3</c:v>
                      </c:pt>
                      <c:pt idx="24">
                        <c:v>-5.0272999999999998E-2</c:v>
                      </c:pt>
                      <c:pt idx="25">
                        <c:v>-9.1982999999999995E-2</c:v>
                      </c:pt>
                      <c:pt idx="26">
                        <c:v>-0.13157099999999999</c:v>
                      </c:pt>
                      <c:pt idx="27">
                        <c:v>-0.16914499999999999</c:v>
                      </c:pt>
                      <c:pt idx="28">
                        <c:v>-0.20480899999999999</c:v>
                      </c:pt>
                      <c:pt idx="29">
                        <c:v>-0.23865900000000001</c:v>
                      </c:pt>
                      <c:pt idx="30">
                        <c:v>-0.27078799999999997</c:v>
                      </c:pt>
                      <c:pt idx="31">
                        <c:v>-0.30128300000000002</c:v>
                      </c:pt>
                      <c:pt idx="32">
                        <c:v>-0.33022899999999999</c:v>
                      </c:pt>
                      <c:pt idx="33">
                        <c:v>-0.35770400000000002</c:v>
                      </c:pt>
                      <c:pt idx="34">
                        <c:v>-0.38378299999999999</c:v>
                      </c:pt>
                      <c:pt idx="35">
                        <c:v>-0.40853800000000001</c:v>
                      </c:pt>
                      <c:pt idx="36">
                        <c:v>-0.43203599999999998</c:v>
                      </c:pt>
                      <c:pt idx="37">
                        <c:v>-0.45434099999999999</c:v>
                      </c:pt>
                      <c:pt idx="38">
                        <c:v>-0.47551399999999999</c:v>
                      </c:pt>
                      <c:pt idx="39">
                        <c:v>-0.495612</c:v>
                      </c:pt>
                      <c:pt idx="40">
                        <c:v>-0.51469200000000004</c:v>
                      </c:pt>
                      <c:pt idx="41">
                        <c:v>-0.53280300000000003</c:v>
                      </c:pt>
                      <c:pt idx="42">
                        <c:v>-0.54999699999999996</c:v>
                      </c:pt>
                      <c:pt idx="43">
                        <c:v>-0.56631900000000002</c:v>
                      </c:pt>
                      <c:pt idx="44">
                        <c:v>-0.58181499999999997</c:v>
                      </c:pt>
                      <c:pt idx="45">
                        <c:v>-0.59652499999999997</c:v>
                      </c:pt>
                      <c:pt idx="46">
                        <c:v>-0.61049100000000001</c:v>
                      </c:pt>
                      <c:pt idx="47">
                        <c:v>-0.62375000000000003</c:v>
                      </c:pt>
                      <c:pt idx="48">
                        <c:v>-0.63633899999999999</c:v>
                      </c:pt>
                      <c:pt idx="49">
                        <c:v>-0.64829000000000003</c:v>
                      </c:pt>
                      <c:pt idx="50">
                        <c:v>-0.65963700000000003</c:v>
                      </c:pt>
                      <c:pt idx="51">
                        <c:v>-0.67041099999999998</c:v>
                      </c:pt>
                      <c:pt idx="52">
                        <c:v>-0.68064000000000002</c:v>
                      </c:pt>
                      <c:pt idx="53">
                        <c:v>-0.69035299999999999</c:v>
                      </c:pt>
                      <c:pt idx="54">
                        <c:v>-0.69957499999999995</c:v>
                      </c:pt>
                      <c:pt idx="55">
                        <c:v>-0.70833199999999996</c:v>
                      </c:pt>
                      <c:pt idx="56">
                        <c:v>-0.71664700000000003</c:v>
                      </c:pt>
                      <c:pt idx="57">
                        <c:v>-0.72454200000000002</c:v>
                      </c:pt>
                      <c:pt idx="58">
                        <c:v>-0.732039</c:v>
                      </c:pt>
                      <c:pt idx="59">
                        <c:v>-0.73915799999999998</c:v>
                      </c:pt>
                      <c:pt idx="60">
                        <c:v>-0.74591799999999997</c:v>
                      </c:pt>
                      <c:pt idx="61">
                        <c:v>-0.75233799999999995</c:v>
                      </c:pt>
                      <c:pt idx="62">
                        <c:v>-0.75843400000000005</c:v>
                      </c:pt>
                      <c:pt idx="63">
                        <c:v>-0.76422400000000001</c:v>
                      </c:pt>
                      <c:pt idx="64">
                        <c:v>-0.76972099999999999</c:v>
                      </c:pt>
                      <c:pt idx="65">
                        <c:v>-0.77494300000000005</c:v>
                      </c:pt>
                      <c:pt idx="66">
                        <c:v>-0.77990099999999996</c:v>
                      </c:pt>
                      <c:pt idx="67">
                        <c:v>-0.78461000000000003</c:v>
                      </c:pt>
                      <c:pt idx="68">
                        <c:v>-0.78908199999999995</c:v>
                      </c:pt>
                      <c:pt idx="69">
                        <c:v>-0.79332899999999995</c:v>
                      </c:pt>
                      <c:pt idx="70">
                        <c:v>-0.79736300000000004</c:v>
                      </c:pt>
                      <c:pt idx="71">
                        <c:v>-0.80119399999999996</c:v>
                      </c:pt>
                      <c:pt idx="72">
                        <c:v>-0.80483199999999999</c:v>
                      </c:pt>
                      <c:pt idx="73">
                        <c:v>-0.80828800000000001</c:v>
                      </c:pt>
                      <c:pt idx="74">
                        <c:v>-0.81157000000000001</c:v>
                      </c:pt>
                      <c:pt idx="75">
                        <c:v>-0.81468700000000005</c:v>
                      </c:pt>
                      <c:pt idx="76">
                        <c:v>-0.81764800000000004</c:v>
                      </c:pt>
                      <c:pt idx="77">
                        <c:v>-0.82045999999999997</c:v>
                      </c:pt>
                      <c:pt idx="78">
                        <c:v>-0.82313099999999995</c:v>
                      </c:pt>
                      <c:pt idx="79">
                        <c:v>-0.82566799999999996</c:v>
                      </c:pt>
                      <c:pt idx="80">
                        <c:v>-0.82807799999999998</c:v>
                      </c:pt>
                      <c:pt idx="81">
                        <c:v>-0.83036699999999997</c:v>
                      </c:pt>
                      <c:pt idx="82">
                        <c:v>-0.83254099999999998</c:v>
                      </c:pt>
                      <c:pt idx="83">
                        <c:v>-0.83460599999999996</c:v>
                      </c:pt>
                      <c:pt idx="84">
                        <c:v>-0.83656699999999995</c:v>
                      </c:pt>
                      <c:pt idx="85">
                        <c:v>-0.83843000000000001</c:v>
                      </c:pt>
                      <c:pt idx="86">
                        <c:v>-0.84019999999999995</c:v>
                      </c:pt>
                      <c:pt idx="87">
                        <c:v>-0.84188099999999999</c:v>
                      </c:pt>
                      <c:pt idx="88">
                        <c:v>-0.84347700000000003</c:v>
                      </c:pt>
                      <c:pt idx="89">
                        <c:v>-0.84499400000000002</c:v>
                      </c:pt>
                      <c:pt idx="90">
                        <c:v>-0.84643500000000005</c:v>
                      </c:pt>
                      <c:pt idx="91">
                        <c:v>-0.84780299999999997</c:v>
                      </c:pt>
                      <c:pt idx="92">
                        <c:v>-0.84910300000000005</c:v>
                      </c:pt>
                      <c:pt idx="93">
                        <c:v>-0.85033800000000004</c:v>
                      </c:pt>
                      <c:pt idx="94">
                        <c:v>-0.85151100000000002</c:v>
                      </c:pt>
                      <c:pt idx="95">
                        <c:v>-0.85262499999999997</c:v>
                      </c:pt>
                      <c:pt idx="96">
                        <c:v>-0.853684</c:v>
                      </c:pt>
                      <c:pt idx="97">
                        <c:v>-0.85468900000000003</c:v>
                      </c:pt>
                      <c:pt idx="98">
                        <c:v>-0.85564399999999996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111-4F38-89AB-A53AC365B455}"/>
                  </c:ext>
                </c:extLst>
              </c15:ser>
            </c15:filteredScatterSeries>
            <c15:filteredScatterSeries>
              <c15:ser>
                <c:idx val="6"/>
                <c:order val="3"/>
                <c:tx>
                  <c:v>SD 0.25</c:v>
                </c:tx>
                <c:spPr>
                  <a:ln w="19050" cap="rnd">
                    <a:solidFill>
                      <a:schemeClr val="accent3">
                        <a:lumMod val="75000"/>
                      </a:schemeClr>
                    </a:solidFill>
                    <a:round/>
                  </a:ln>
                  <a:effectLst/>
                </c:spPr>
                <c:marker>
                  <c:spPr>
                    <a:solidFill>
                      <a:schemeClr val="accent3">
                        <a:lumMod val="75000"/>
                      </a:schemeClr>
                    </a:solidFill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Wykresy!$D$4:$D$63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-0.1</c:v>
                      </c:pt>
                      <c:pt idx="2">
                        <c:v>-0.12604699999999999</c:v>
                      </c:pt>
                      <c:pt idx="3">
                        <c:v>-7.0845000000000005E-2</c:v>
                      </c:pt>
                      <c:pt idx="4">
                        <c:v>-4.2625999999999997E-2</c:v>
                      </c:pt>
                      <c:pt idx="5">
                        <c:v>-2.5635999999999999E-2</c:v>
                      </c:pt>
                      <c:pt idx="6">
                        <c:v>-1.5459000000000001E-2</c:v>
                      </c:pt>
                      <c:pt idx="7">
                        <c:v>-9.3270000000000002E-3</c:v>
                      </c:pt>
                      <c:pt idx="8">
                        <c:v>-5.6280000000000002E-3</c:v>
                      </c:pt>
                      <c:pt idx="9">
                        <c:v>-3.3969999999999998E-3</c:v>
                      </c:pt>
                      <c:pt idx="10">
                        <c:v>-2.0500000000000002E-3</c:v>
                      </c:pt>
                      <c:pt idx="11">
                        <c:v>-1.237E-3</c:v>
                      </c:pt>
                      <c:pt idx="12">
                        <c:v>-7.4700000000000005E-4</c:v>
                      </c:pt>
                      <c:pt idx="13">
                        <c:v>-4.5100000000000001E-4</c:v>
                      </c:pt>
                      <c:pt idx="14">
                        <c:v>-2.72E-4</c:v>
                      </c:pt>
                      <c:pt idx="15">
                        <c:v>-1.64E-4</c:v>
                      </c:pt>
                      <c:pt idx="16">
                        <c:v>-9.8999999999999994E-5</c:v>
                      </c:pt>
                      <c:pt idx="17">
                        <c:v>-6.0000000000000002E-5</c:v>
                      </c:pt>
                      <c:pt idx="18">
                        <c:v>-3.6000000000000001E-5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Wykresy!$E$4:$E$63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0.5</c:v>
                      </c:pt>
                      <c:pt idx="2">
                        <c:v>0.27500000000000002</c:v>
                      </c:pt>
                      <c:pt idx="3">
                        <c:v>0.169012</c:v>
                      </c:pt>
                      <c:pt idx="4">
                        <c:v>0.102217</c:v>
                      </c:pt>
                      <c:pt idx="5">
                        <c:v>6.1765E-2</c:v>
                      </c:pt>
                      <c:pt idx="6">
                        <c:v>3.7290999999999998E-2</c:v>
                      </c:pt>
                      <c:pt idx="7">
                        <c:v>2.2509999999999999E-2</c:v>
                      </c:pt>
                      <c:pt idx="8">
                        <c:v>1.3587E-2</c:v>
                      </c:pt>
                      <c:pt idx="9">
                        <c:v>8.201E-3</c:v>
                      </c:pt>
                      <c:pt idx="10">
                        <c:v>4.9500000000000004E-3</c:v>
                      </c:pt>
                      <c:pt idx="11">
                        <c:v>2.9870000000000001E-3</c:v>
                      </c:pt>
                      <c:pt idx="12">
                        <c:v>1.8029999999999999E-3</c:v>
                      </c:pt>
                      <c:pt idx="13">
                        <c:v>1.088E-3</c:v>
                      </c:pt>
                      <c:pt idx="14">
                        <c:v>6.5700000000000003E-4</c:v>
                      </c:pt>
                      <c:pt idx="15">
                        <c:v>3.9599999999999998E-4</c:v>
                      </c:pt>
                      <c:pt idx="16">
                        <c:v>2.3900000000000001E-4</c:v>
                      </c:pt>
                      <c:pt idx="17">
                        <c:v>1.44E-4</c:v>
                      </c:pt>
                      <c:pt idx="18">
                        <c:v>8.7000000000000001E-5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A111-4F38-89AB-A53AC365B455}"/>
                  </c:ext>
                </c:extLst>
              </c15:ser>
            </c15:filteredScatterSeries>
            <c15:filteredScatterSeries>
              <c15:ser>
                <c:idx val="8"/>
                <c:order val="5"/>
                <c:tx>
                  <c:v>Newton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Wykresy!$P$4:$P$102</c15:sqref>
                        </c15:formulaRef>
                      </c:ext>
                    </c:extLst>
                    <c:numCache>
                      <c:formatCode>General</c:formatCode>
                      <c:ptCount val="99"/>
                      <c:pt idx="0">
                        <c:v>2</c:v>
                      </c:pt>
                      <c:pt idx="1">
                        <c:v>1.9592149999999999</c:v>
                      </c:pt>
                      <c:pt idx="2">
                        <c:v>1.923295</c:v>
                      </c:pt>
                      <c:pt idx="3">
                        <c:v>1.8920030000000001</c:v>
                      </c:pt>
                      <c:pt idx="4">
                        <c:v>1.8650659999999999</c:v>
                      </c:pt>
                      <c:pt idx="5">
                        <c:v>1.842176</c:v>
                      </c:pt>
                      <c:pt idx="6">
                        <c:v>1.8229880000000001</c:v>
                      </c:pt>
                      <c:pt idx="7">
                        <c:v>1.8071250000000001</c:v>
                      </c:pt>
                      <c:pt idx="8">
                        <c:v>1.794189</c:v>
                      </c:pt>
                      <c:pt idx="9">
                        <c:v>1.7837780000000001</c:v>
                      </c:pt>
                      <c:pt idx="10">
                        <c:v>1.7755000000000001</c:v>
                      </c:pt>
                      <c:pt idx="11">
                        <c:v>1.7689889999999999</c:v>
                      </c:pt>
                      <c:pt idx="12">
                        <c:v>1.763916</c:v>
                      </c:pt>
                      <c:pt idx="13">
                        <c:v>1.759995</c:v>
                      </c:pt>
                      <c:pt idx="14">
                        <c:v>1.7569840000000001</c:v>
                      </c:pt>
                      <c:pt idx="15">
                        <c:v>1.7546839999999999</c:v>
                      </c:pt>
                      <c:pt idx="16">
                        <c:v>1.752934</c:v>
                      </c:pt>
                      <c:pt idx="17">
                        <c:v>1.7516080000000001</c:v>
                      </c:pt>
                      <c:pt idx="18">
                        <c:v>1.750605</c:v>
                      </c:pt>
                      <c:pt idx="19">
                        <c:v>1.7498480000000001</c:v>
                      </c:pt>
                      <c:pt idx="20">
                        <c:v>1.7492780000000001</c:v>
                      </c:pt>
                      <c:pt idx="21">
                        <c:v>1.748848</c:v>
                      </c:pt>
                      <c:pt idx="22">
                        <c:v>1.7485250000000001</c:v>
                      </c:pt>
                      <c:pt idx="23">
                        <c:v>1.748283</c:v>
                      </c:pt>
                      <c:pt idx="24">
                        <c:v>1.7481009999999999</c:v>
                      </c:pt>
                      <c:pt idx="25">
                        <c:v>1.7479640000000001</c:v>
                      </c:pt>
                      <c:pt idx="26">
                        <c:v>1.7478610000000001</c:v>
                      </c:pt>
                      <c:pt idx="27">
                        <c:v>1.747784</c:v>
                      </c:pt>
                      <c:pt idx="28">
                        <c:v>1.7477259999999999</c:v>
                      </c:pt>
                      <c:pt idx="29">
                        <c:v>1.7476830000000001</c:v>
                      </c:pt>
                      <c:pt idx="30">
                        <c:v>1.7476499999999999</c:v>
                      </c:pt>
                      <c:pt idx="31">
                        <c:v>1.7476259999999999</c:v>
                      </c:pt>
                      <c:pt idx="32">
                        <c:v>1.7476069999999999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Wykresy!$Q$4:$Q$102</c15:sqref>
                        </c15:formulaRef>
                      </c:ext>
                    </c:extLst>
                    <c:numCache>
                      <c:formatCode>General</c:formatCode>
                      <c:ptCount val="99"/>
                      <c:pt idx="0">
                        <c:v>2</c:v>
                      </c:pt>
                      <c:pt idx="1">
                        <c:v>1.2703930000000001</c:v>
                      </c:pt>
                      <c:pt idx="2">
                        <c:v>0.72585200000000005</c:v>
                      </c:pt>
                      <c:pt idx="3">
                        <c:v>0.31962400000000002</c:v>
                      </c:pt>
                      <c:pt idx="4">
                        <c:v>1.6685999999999999E-2</c:v>
                      </c:pt>
                      <c:pt idx="5">
                        <c:v>-0.209174</c:v>
                      </c:pt>
                      <c:pt idx="6">
                        <c:v>-0.377558</c:v>
                      </c:pt>
                      <c:pt idx="7">
                        <c:v>-0.50311099999999997</c:v>
                      </c:pt>
                      <c:pt idx="8">
                        <c:v>-0.59675599999999995</c:v>
                      </c:pt>
                      <c:pt idx="9">
                        <c:v>-0.66663499999999998</c:v>
                      </c:pt>
                      <c:pt idx="10">
                        <c:v>-0.71880900000000003</c:v>
                      </c:pt>
                      <c:pt idx="11">
                        <c:v>-0.75778900000000005</c:v>
                      </c:pt>
                      <c:pt idx="12">
                        <c:v>-0.78692899999999999</c:v>
                      </c:pt>
                      <c:pt idx="13">
                        <c:v>-0.80872599999999994</c:v>
                      </c:pt>
                      <c:pt idx="14">
                        <c:v>-0.82503800000000005</c:v>
                      </c:pt>
                      <c:pt idx="15">
                        <c:v>-0.837252</c:v>
                      </c:pt>
                      <c:pt idx="16">
                        <c:v>-0.84639900000000001</c:v>
                      </c:pt>
                      <c:pt idx="17">
                        <c:v>-0.85325300000000004</c:v>
                      </c:pt>
                      <c:pt idx="18">
                        <c:v>-0.85838899999999996</c:v>
                      </c:pt>
                      <c:pt idx="19">
                        <c:v>-0.86223899999999998</c:v>
                      </c:pt>
                      <c:pt idx="20">
                        <c:v>-0.86512500000000003</c:v>
                      </c:pt>
                      <c:pt idx="21">
                        <c:v>-0.86728899999999998</c:v>
                      </c:pt>
                      <c:pt idx="22">
                        <c:v>-0.86891099999999999</c:v>
                      </c:pt>
                      <c:pt idx="23">
                        <c:v>-0.87012800000000001</c:v>
                      </c:pt>
                      <c:pt idx="24">
                        <c:v>-0.87104000000000004</c:v>
                      </c:pt>
                      <c:pt idx="25">
                        <c:v>-0.87172400000000005</c:v>
                      </c:pt>
                      <c:pt idx="26">
                        <c:v>-0.87223700000000004</c:v>
                      </c:pt>
                      <c:pt idx="27">
                        <c:v>-0.87262200000000001</c:v>
                      </c:pt>
                      <c:pt idx="28">
                        <c:v>-0.87291099999999999</c:v>
                      </c:pt>
                      <c:pt idx="29">
                        <c:v>-0.87312699999999999</c:v>
                      </c:pt>
                      <c:pt idx="30">
                        <c:v>-0.87328899999999998</c:v>
                      </c:pt>
                      <c:pt idx="31">
                        <c:v>-0.87341100000000005</c:v>
                      </c:pt>
                      <c:pt idx="32">
                        <c:v>-0.873502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111-4F38-89AB-A53AC365B455}"/>
                  </c:ext>
                </c:extLst>
              </c15:ser>
            </c15:filteredScatterSeries>
            <c15:filteredScatterSeries>
              <c15:ser>
                <c:idx val="0"/>
                <c:order val="6"/>
                <c:tx>
                  <c:v>SD zmienny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Wykresy!$F$4:$F$63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-0.222219</c:v>
                      </c:pt>
                      <c:pt idx="2">
                        <c:v>3.5708999999999998E-2</c:v>
                      </c:pt>
                      <c:pt idx="3">
                        <c:v>-9.7660000000000004E-3</c:v>
                      </c:pt>
                      <c:pt idx="4">
                        <c:v>1.8580000000000001E-3</c:v>
                      </c:pt>
                      <c:pt idx="5">
                        <c:v>-5.1199999999999998E-4</c:v>
                      </c:pt>
                      <c:pt idx="6">
                        <c:v>9.7E-5</c:v>
                      </c:pt>
                      <c:pt idx="7">
                        <c:v>-2.6999999999999999E-5</c:v>
                      </c:pt>
                      <c:pt idx="8">
                        <c:v>5.0000000000000004E-6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Wykresy!$G$4:$G$63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0.41270099999999998</c:v>
                      </c:pt>
                      <c:pt idx="2">
                        <c:v>5.142E-2</c:v>
                      </c:pt>
                      <c:pt idx="3">
                        <c:v>1.8953999999999999E-2</c:v>
                      </c:pt>
                      <c:pt idx="4">
                        <c:v>2.686E-3</c:v>
                      </c:pt>
                      <c:pt idx="5">
                        <c:v>9.9299999999999996E-4</c:v>
                      </c:pt>
                      <c:pt idx="6">
                        <c:v>1.4100000000000001E-4</c:v>
                      </c:pt>
                      <c:pt idx="7">
                        <c:v>5.1999999999999997E-5</c:v>
                      </c:pt>
                      <c:pt idx="8">
                        <c:v>6.9999999999999999E-6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111-4F38-89AB-A53AC365B455}"/>
                  </c:ext>
                </c:extLst>
              </c15:ser>
            </c15:filteredScatterSeries>
            <c15:filteredScatterSeries>
              <c15:ser>
                <c:idx val="2"/>
                <c:order val="8"/>
                <c:tx>
                  <c:v>Newton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Wykresy!$R$4:$R$102</c15:sqref>
                        </c15:formulaRef>
                      </c:ext>
                    </c:extLst>
                    <c:numCache>
                      <c:formatCode>General</c:formatCode>
                      <c:ptCount val="99"/>
                      <c:pt idx="0">
                        <c:v>2</c:v>
                      </c:pt>
                      <c:pt idx="1">
                        <c:v>1.8349740000000001</c:v>
                      </c:pt>
                      <c:pt idx="2">
                        <c:v>1.7481500000000001</c:v>
                      </c:pt>
                      <c:pt idx="3">
                        <c:v>1.7475529999999999</c:v>
                      </c:pt>
                      <c:pt idx="4">
                        <c:v>1.747552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Wykresy!$S$4:$S$102</c15:sqref>
                        </c15:formulaRef>
                      </c:ext>
                    </c:extLst>
                    <c:numCache>
                      <c:formatCode>General</c:formatCode>
                      <c:ptCount val="99"/>
                      <c:pt idx="0">
                        <c:v>2</c:v>
                      </c:pt>
                      <c:pt idx="1">
                        <c:v>-0.95213800000000004</c:v>
                      </c:pt>
                      <c:pt idx="2">
                        <c:v>-0.86686099999999999</c:v>
                      </c:pt>
                      <c:pt idx="3">
                        <c:v>-0.87377700000000003</c:v>
                      </c:pt>
                      <c:pt idx="4">
                        <c:v>-0.873776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111-4F38-89AB-A53AC365B455}"/>
                  </c:ext>
                </c:extLst>
              </c15:ser>
            </c15:filteredScatterSeries>
          </c:ext>
        </c:extLst>
      </c:scatterChart>
      <c:valAx>
        <c:axId val="1594716432"/>
        <c:scaling>
          <c:orientation val="minMax"/>
          <c:max val="2"/>
          <c:min val="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x1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714992"/>
        <c:crosses val="autoZero"/>
        <c:crossBetween val="midCat"/>
      </c:valAx>
      <c:valAx>
        <c:axId val="1594714992"/>
        <c:scaling>
          <c:orientation val="minMax"/>
          <c:max val="2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x2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716432"/>
        <c:crosses val="autoZero"/>
        <c:crossBetween val="midCat"/>
      </c:valAx>
      <c:spPr>
        <a:blipFill dpi="0" rotWithShape="1">
          <a:blip xmlns:r="http://schemas.openxmlformats.org/officeDocument/2006/relationships" r:embed="rId1">
            <a:alphaModFix amt="30000"/>
          </a:blip>
          <a:srcRect/>
          <a:stretch>
            <a:fillRect/>
          </a:stretch>
        </a:blip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Newton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B" baseline="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5"/>
          <c:order val="2"/>
          <c:tx>
            <c:v>Newton 0.05</c:v>
          </c:tx>
          <c:xVal>
            <c:numRef>
              <c:f>Wykresy!$N$4:$N$102</c:f>
              <c:numCache>
                <c:formatCode>General</c:formatCode>
                <c:ptCount val="99"/>
                <c:pt idx="0">
                  <c:v>2</c:v>
                </c:pt>
                <c:pt idx="1">
                  <c:v>1.991843</c:v>
                </c:pt>
                <c:pt idx="2">
                  <c:v>1.9838750000000001</c:v>
                </c:pt>
                <c:pt idx="3">
                  <c:v>1.976094</c:v>
                </c:pt>
                <c:pt idx="4">
                  <c:v>1.9684980000000001</c:v>
                </c:pt>
                <c:pt idx="5">
                  <c:v>1.9610860000000001</c:v>
                </c:pt>
                <c:pt idx="6">
                  <c:v>1.953856</c:v>
                </c:pt>
                <c:pt idx="7">
                  <c:v>1.9468049999999999</c:v>
                </c:pt>
                <c:pt idx="8">
                  <c:v>1.9399329999999999</c:v>
                </c:pt>
                <c:pt idx="9">
                  <c:v>1.9332370000000001</c:v>
                </c:pt>
                <c:pt idx="10">
                  <c:v>1.926715</c:v>
                </c:pt>
                <c:pt idx="11">
                  <c:v>1.920366</c:v>
                </c:pt>
                <c:pt idx="12">
                  <c:v>1.9141859999999999</c:v>
                </c:pt>
                <c:pt idx="13">
                  <c:v>1.908174</c:v>
                </c:pt>
                <c:pt idx="14">
                  <c:v>1.902328</c:v>
                </c:pt>
                <c:pt idx="15">
                  <c:v>1.8966460000000001</c:v>
                </c:pt>
                <c:pt idx="16">
                  <c:v>1.8911249999999999</c:v>
                </c:pt>
                <c:pt idx="17">
                  <c:v>1.8857630000000001</c:v>
                </c:pt>
                <c:pt idx="18">
                  <c:v>1.880558</c:v>
                </c:pt>
                <c:pt idx="19">
                  <c:v>1.875507</c:v>
                </c:pt>
                <c:pt idx="20">
                  <c:v>1.870608</c:v>
                </c:pt>
                <c:pt idx="21">
                  <c:v>1.865858</c:v>
                </c:pt>
                <c:pt idx="22">
                  <c:v>1.861256</c:v>
                </c:pt>
                <c:pt idx="23">
                  <c:v>1.856797</c:v>
                </c:pt>
                <c:pt idx="24">
                  <c:v>1.852481</c:v>
                </c:pt>
                <c:pt idx="25">
                  <c:v>1.848303</c:v>
                </c:pt>
                <c:pt idx="26">
                  <c:v>1.8442620000000001</c:v>
                </c:pt>
                <c:pt idx="27">
                  <c:v>1.840355</c:v>
                </c:pt>
                <c:pt idx="28">
                  <c:v>1.836578</c:v>
                </c:pt>
                <c:pt idx="29">
                  <c:v>1.8329299999999999</c:v>
                </c:pt>
                <c:pt idx="30">
                  <c:v>1.8294079999999999</c:v>
                </c:pt>
                <c:pt idx="31">
                  <c:v>1.8260080000000001</c:v>
                </c:pt>
                <c:pt idx="32">
                  <c:v>1.822727</c:v>
                </c:pt>
                <c:pt idx="33">
                  <c:v>1.819564</c:v>
                </c:pt>
                <c:pt idx="34">
                  <c:v>1.8165150000000001</c:v>
                </c:pt>
                <c:pt idx="35">
                  <c:v>1.813577</c:v>
                </c:pt>
                <c:pt idx="36">
                  <c:v>1.8107470000000001</c:v>
                </c:pt>
                <c:pt idx="37">
                  <c:v>1.8080229999999999</c:v>
                </c:pt>
                <c:pt idx="38">
                  <c:v>1.805402</c:v>
                </c:pt>
                <c:pt idx="39">
                  <c:v>1.80288</c:v>
                </c:pt>
                <c:pt idx="40">
                  <c:v>1.8004560000000001</c:v>
                </c:pt>
                <c:pt idx="41">
                  <c:v>1.7981259999999999</c:v>
                </c:pt>
                <c:pt idx="42">
                  <c:v>1.795887</c:v>
                </c:pt>
                <c:pt idx="43">
                  <c:v>1.7937369999999999</c:v>
                </c:pt>
                <c:pt idx="44">
                  <c:v>1.7916730000000001</c:v>
                </c:pt>
                <c:pt idx="45">
                  <c:v>1.7896920000000001</c:v>
                </c:pt>
                <c:pt idx="46">
                  <c:v>1.787792</c:v>
                </c:pt>
                <c:pt idx="47">
                  <c:v>1.7859700000000001</c:v>
                </c:pt>
                <c:pt idx="48">
                  <c:v>1.7842229999999999</c:v>
                </c:pt>
                <c:pt idx="49">
                  <c:v>1.7825489999999999</c:v>
                </c:pt>
                <c:pt idx="50">
                  <c:v>1.780945</c:v>
                </c:pt>
                <c:pt idx="51">
                  <c:v>1.779409</c:v>
                </c:pt>
                <c:pt idx="52">
                  <c:v>1.777938</c:v>
                </c:pt>
                <c:pt idx="53">
                  <c:v>1.7765299999999999</c:v>
                </c:pt>
                <c:pt idx="54">
                  <c:v>1.775183</c:v>
                </c:pt>
                <c:pt idx="55">
                  <c:v>1.773895</c:v>
                </c:pt>
                <c:pt idx="56">
                  <c:v>1.7726630000000001</c:v>
                </c:pt>
                <c:pt idx="57">
                  <c:v>1.771485</c:v>
                </c:pt>
                <c:pt idx="58">
                  <c:v>1.770359</c:v>
                </c:pt>
                <c:pt idx="59">
                  <c:v>1.7692829999999999</c:v>
                </c:pt>
                <c:pt idx="60">
                  <c:v>1.768256</c:v>
                </c:pt>
                <c:pt idx="61">
                  <c:v>1.767274</c:v>
                </c:pt>
                <c:pt idx="62">
                  <c:v>1.766337</c:v>
                </c:pt>
                <c:pt idx="63">
                  <c:v>1.765442</c:v>
                </c:pt>
                <c:pt idx="64">
                  <c:v>1.764588</c:v>
                </c:pt>
                <c:pt idx="65">
                  <c:v>1.763773</c:v>
                </c:pt>
                <c:pt idx="66">
                  <c:v>1.7629950000000001</c:v>
                </c:pt>
                <c:pt idx="67">
                  <c:v>1.7622530000000001</c:v>
                </c:pt>
                <c:pt idx="68">
                  <c:v>1.7615460000000001</c:v>
                </c:pt>
                <c:pt idx="69">
                  <c:v>1.7608710000000001</c:v>
                </c:pt>
                <c:pt idx="70">
                  <c:v>1.7602279999999999</c:v>
                </c:pt>
                <c:pt idx="71">
                  <c:v>1.7596149999999999</c:v>
                </c:pt>
                <c:pt idx="72">
                  <c:v>1.7590300000000001</c:v>
                </c:pt>
                <c:pt idx="73">
                  <c:v>1.7584740000000001</c:v>
                </c:pt>
                <c:pt idx="74">
                  <c:v>1.757943</c:v>
                </c:pt>
                <c:pt idx="75">
                  <c:v>1.7574369999999999</c:v>
                </c:pt>
                <c:pt idx="76">
                  <c:v>1.756956</c:v>
                </c:pt>
                <c:pt idx="77">
                  <c:v>1.756497</c:v>
                </c:pt>
                <c:pt idx="78">
                  <c:v>1.75606</c:v>
                </c:pt>
                <c:pt idx="79">
                  <c:v>1.755644</c:v>
                </c:pt>
                <c:pt idx="80">
                  <c:v>1.7552479999999999</c:v>
                </c:pt>
                <c:pt idx="81">
                  <c:v>1.7548710000000001</c:v>
                </c:pt>
                <c:pt idx="82">
                  <c:v>1.7545120000000001</c:v>
                </c:pt>
                <c:pt idx="83">
                  <c:v>1.7541709999999999</c:v>
                </c:pt>
                <c:pt idx="84">
                  <c:v>1.753846</c:v>
                </c:pt>
                <c:pt idx="85">
                  <c:v>1.753536</c:v>
                </c:pt>
                <c:pt idx="86">
                  <c:v>1.753242</c:v>
                </c:pt>
                <c:pt idx="87">
                  <c:v>1.752961</c:v>
                </c:pt>
                <c:pt idx="88">
                  <c:v>1.7526949999999999</c:v>
                </c:pt>
                <c:pt idx="89">
                  <c:v>1.7524409999999999</c:v>
                </c:pt>
                <c:pt idx="90">
                  <c:v>1.7522</c:v>
                </c:pt>
                <c:pt idx="91">
                  <c:v>1.75197</c:v>
                </c:pt>
                <c:pt idx="92">
                  <c:v>1.751752</c:v>
                </c:pt>
                <c:pt idx="93">
                  <c:v>1.751544</c:v>
                </c:pt>
                <c:pt idx="94">
                  <c:v>1.751347</c:v>
                </c:pt>
                <c:pt idx="95">
                  <c:v>1.7511589999999999</c:v>
                </c:pt>
                <c:pt idx="96">
                  <c:v>1.75098</c:v>
                </c:pt>
                <c:pt idx="97">
                  <c:v>1.7508109999999999</c:v>
                </c:pt>
                <c:pt idx="98">
                  <c:v>1.7506489999999999</c:v>
                </c:pt>
              </c:numCache>
              <c:extLst xmlns:c15="http://schemas.microsoft.com/office/drawing/2012/chart"/>
            </c:numRef>
          </c:xVal>
          <c:yVal>
            <c:numRef>
              <c:f>Wykresy!$O$4:$O$102</c:f>
              <c:numCache>
                <c:formatCode>General</c:formatCode>
                <c:ptCount val="99"/>
                <c:pt idx="0">
                  <c:v>2</c:v>
                </c:pt>
                <c:pt idx="1">
                  <c:v>1.854079</c:v>
                </c:pt>
                <c:pt idx="2">
                  <c:v>1.7155629999999999</c:v>
                </c:pt>
                <c:pt idx="3">
                  <c:v>1.5840780000000001</c:v>
                </c:pt>
                <c:pt idx="4">
                  <c:v>1.4592700000000001</c:v>
                </c:pt>
                <c:pt idx="5">
                  <c:v>1.3408</c:v>
                </c:pt>
                <c:pt idx="6">
                  <c:v>1.228348</c:v>
                </c:pt>
                <c:pt idx="7">
                  <c:v>1.1216090000000001</c:v>
                </c:pt>
                <c:pt idx="8">
                  <c:v>1.020295</c:v>
                </c:pt>
                <c:pt idx="9">
                  <c:v>0.92413000000000001</c:v>
                </c:pt>
                <c:pt idx="10">
                  <c:v>0.83285299999999995</c:v>
                </c:pt>
                <c:pt idx="11">
                  <c:v>0.74621700000000002</c:v>
                </c:pt>
                <c:pt idx="12">
                  <c:v>0.66398699999999999</c:v>
                </c:pt>
                <c:pt idx="13">
                  <c:v>0.58593899999999999</c:v>
                </c:pt>
                <c:pt idx="14">
                  <c:v>0.51186100000000001</c:v>
                </c:pt>
                <c:pt idx="15">
                  <c:v>0.44155100000000003</c:v>
                </c:pt>
                <c:pt idx="16">
                  <c:v>0.37481799999999998</c:v>
                </c:pt>
                <c:pt idx="17">
                  <c:v>0.31147900000000001</c:v>
                </c:pt>
                <c:pt idx="18">
                  <c:v>0.25136399999999998</c:v>
                </c:pt>
                <c:pt idx="19">
                  <c:v>0.19430700000000001</c:v>
                </c:pt>
                <c:pt idx="20">
                  <c:v>0.140154</c:v>
                </c:pt>
                <c:pt idx="21">
                  <c:v>8.8756000000000002E-2</c:v>
                </c:pt>
                <c:pt idx="22">
                  <c:v>3.9973000000000002E-2</c:v>
                </c:pt>
                <c:pt idx="23">
                  <c:v>-6.3280000000000003E-3</c:v>
                </c:pt>
                <c:pt idx="24">
                  <c:v>-5.0272999999999998E-2</c:v>
                </c:pt>
                <c:pt idx="25">
                  <c:v>-9.1982999999999995E-2</c:v>
                </c:pt>
                <c:pt idx="26">
                  <c:v>-0.13157099999999999</c:v>
                </c:pt>
                <c:pt idx="27">
                  <c:v>-0.16914499999999999</c:v>
                </c:pt>
                <c:pt idx="28">
                  <c:v>-0.20480899999999999</c:v>
                </c:pt>
                <c:pt idx="29">
                  <c:v>-0.23865900000000001</c:v>
                </c:pt>
                <c:pt idx="30">
                  <c:v>-0.27078799999999997</c:v>
                </c:pt>
                <c:pt idx="31">
                  <c:v>-0.30128300000000002</c:v>
                </c:pt>
                <c:pt idx="32">
                  <c:v>-0.33022899999999999</c:v>
                </c:pt>
                <c:pt idx="33">
                  <c:v>-0.35770400000000002</c:v>
                </c:pt>
                <c:pt idx="34">
                  <c:v>-0.38378299999999999</c:v>
                </c:pt>
                <c:pt idx="35">
                  <c:v>-0.40853800000000001</c:v>
                </c:pt>
                <c:pt idx="36">
                  <c:v>-0.43203599999999998</c:v>
                </c:pt>
                <c:pt idx="37">
                  <c:v>-0.45434099999999999</c:v>
                </c:pt>
                <c:pt idx="38">
                  <c:v>-0.47551399999999999</c:v>
                </c:pt>
                <c:pt idx="39">
                  <c:v>-0.495612</c:v>
                </c:pt>
                <c:pt idx="40">
                  <c:v>-0.51469200000000004</c:v>
                </c:pt>
                <c:pt idx="41">
                  <c:v>-0.53280300000000003</c:v>
                </c:pt>
                <c:pt idx="42">
                  <c:v>-0.54999699999999996</c:v>
                </c:pt>
                <c:pt idx="43">
                  <c:v>-0.56631900000000002</c:v>
                </c:pt>
                <c:pt idx="44">
                  <c:v>-0.58181499999999997</c:v>
                </c:pt>
                <c:pt idx="45">
                  <c:v>-0.59652499999999997</c:v>
                </c:pt>
                <c:pt idx="46">
                  <c:v>-0.61049100000000001</c:v>
                </c:pt>
                <c:pt idx="47">
                  <c:v>-0.62375000000000003</c:v>
                </c:pt>
                <c:pt idx="48">
                  <c:v>-0.63633899999999999</c:v>
                </c:pt>
                <c:pt idx="49">
                  <c:v>-0.64829000000000003</c:v>
                </c:pt>
                <c:pt idx="50">
                  <c:v>-0.65963700000000003</c:v>
                </c:pt>
                <c:pt idx="51">
                  <c:v>-0.67041099999999998</c:v>
                </c:pt>
                <c:pt idx="52">
                  <c:v>-0.68064000000000002</c:v>
                </c:pt>
                <c:pt idx="53">
                  <c:v>-0.69035299999999999</c:v>
                </c:pt>
                <c:pt idx="54">
                  <c:v>-0.69957499999999995</c:v>
                </c:pt>
                <c:pt idx="55">
                  <c:v>-0.70833199999999996</c:v>
                </c:pt>
                <c:pt idx="56">
                  <c:v>-0.71664700000000003</c:v>
                </c:pt>
                <c:pt idx="57">
                  <c:v>-0.72454200000000002</c:v>
                </c:pt>
                <c:pt idx="58">
                  <c:v>-0.732039</c:v>
                </c:pt>
                <c:pt idx="59">
                  <c:v>-0.73915799999999998</c:v>
                </c:pt>
                <c:pt idx="60">
                  <c:v>-0.74591799999999997</c:v>
                </c:pt>
                <c:pt idx="61">
                  <c:v>-0.75233799999999995</c:v>
                </c:pt>
                <c:pt idx="62">
                  <c:v>-0.75843400000000005</c:v>
                </c:pt>
                <c:pt idx="63">
                  <c:v>-0.76422400000000001</c:v>
                </c:pt>
                <c:pt idx="64">
                  <c:v>-0.76972099999999999</c:v>
                </c:pt>
                <c:pt idx="65">
                  <c:v>-0.77494300000000005</c:v>
                </c:pt>
                <c:pt idx="66">
                  <c:v>-0.77990099999999996</c:v>
                </c:pt>
                <c:pt idx="67">
                  <c:v>-0.78461000000000003</c:v>
                </c:pt>
                <c:pt idx="68">
                  <c:v>-0.78908199999999995</c:v>
                </c:pt>
                <c:pt idx="69">
                  <c:v>-0.79332899999999995</c:v>
                </c:pt>
                <c:pt idx="70">
                  <c:v>-0.79736300000000004</c:v>
                </c:pt>
                <c:pt idx="71">
                  <c:v>-0.80119399999999996</c:v>
                </c:pt>
                <c:pt idx="72">
                  <c:v>-0.80483199999999999</c:v>
                </c:pt>
                <c:pt idx="73">
                  <c:v>-0.80828800000000001</c:v>
                </c:pt>
                <c:pt idx="74">
                  <c:v>-0.81157000000000001</c:v>
                </c:pt>
                <c:pt idx="75">
                  <c:v>-0.81468700000000005</c:v>
                </c:pt>
                <c:pt idx="76">
                  <c:v>-0.81764800000000004</c:v>
                </c:pt>
                <c:pt idx="77">
                  <c:v>-0.82045999999999997</c:v>
                </c:pt>
                <c:pt idx="78">
                  <c:v>-0.82313099999999995</c:v>
                </c:pt>
                <c:pt idx="79">
                  <c:v>-0.82566799999999996</c:v>
                </c:pt>
                <c:pt idx="80">
                  <c:v>-0.82807799999999998</c:v>
                </c:pt>
                <c:pt idx="81">
                  <c:v>-0.83036699999999997</c:v>
                </c:pt>
                <c:pt idx="82">
                  <c:v>-0.83254099999999998</c:v>
                </c:pt>
                <c:pt idx="83">
                  <c:v>-0.83460599999999996</c:v>
                </c:pt>
                <c:pt idx="84">
                  <c:v>-0.83656699999999995</c:v>
                </c:pt>
                <c:pt idx="85">
                  <c:v>-0.83843000000000001</c:v>
                </c:pt>
                <c:pt idx="86">
                  <c:v>-0.84019999999999995</c:v>
                </c:pt>
                <c:pt idx="87">
                  <c:v>-0.84188099999999999</c:v>
                </c:pt>
                <c:pt idx="88">
                  <c:v>-0.84347700000000003</c:v>
                </c:pt>
                <c:pt idx="89">
                  <c:v>-0.84499400000000002</c:v>
                </c:pt>
                <c:pt idx="90">
                  <c:v>-0.84643500000000005</c:v>
                </c:pt>
                <c:pt idx="91">
                  <c:v>-0.84780299999999997</c:v>
                </c:pt>
                <c:pt idx="92">
                  <c:v>-0.84910300000000005</c:v>
                </c:pt>
                <c:pt idx="93">
                  <c:v>-0.85033800000000004</c:v>
                </c:pt>
                <c:pt idx="94">
                  <c:v>-0.85151100000000002</c:v>
                </c:pt>
                <c:pt idx="95">
                  <c:v>-0.85262499999999997</c:v>
                </c:pt>
                <c:pt idx="96">
                  <c:v>-0.853684</c:v>
                </c:pt>
                <c:pt idx="97">
                  <c:v>-0.85468900000000003</c:v>
                </c:pt>
                <c:pt idx="98">
                  <c:v>-0.85564399999999996</c:v>
                </c:pt>
              </c:numCache>
              <c:extLst xmlns:c15="http://schemas.microsoft.com/office/drawing/2012/chart"/>
            </c:numRef>
          </c:yVal>
          <c:smooth val="1"/>
          <c:extLst>
            <c:ext xmlns:c16="http://schemas.microsoft.com/office/drawing/2014/chart" uri="{C3380CC4-5D6E-409C-BE32-E72D297353CC}">
              <c16:uniqueId val="{00000004-A703-445B-AFAE-66EB29B08043}"/>
            </c:ext>
          </c:extLst>
        </c:ser>
        <c:ser>
          <c:idx val="8"/>
          <c:order val="5"/>
          <c:tx>
            <c:v>Newton 0.25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xVal>
            <c:numRef>
              <c:f>Wykresy!$P$4:$P$102</c:f>
              <c:numCache>
                <c:formatCode>General</c:formatCode>
                <c:ptCount val="99"/>
                <c:pt idx="0">
                  <c:v>2</c:v>
                </c:pt>
                <c:pt idx="1">
                  <c:v>1.9592149999999999</c:v>
                </c:pt>
                <c:pt idx="2">
                  <c:v>1.923295</c:v>
                </c:pt>
                <c:pt idx="3">
                  <c:v>1.8920030000000001</c:v>
                </c:pt>
                <c:pt idx="4">
                  <c:v>1.8650659999999999</c:v>
                </c:pt>
                <c:pt idx="5">
                  <c:v>1.842176</c:v>
                </c:pt>
                <c:pt idx="6">
                  <c:v>1.8229880000000001</c:v>
                </c:pt>
                <c:pt idx="7">
                  <c:v>1.8071250000000001</c:v>
                </c:pt>
                <c:pt idx="8">
                  <c:v>1.794189</c:v>
                </c:pt>
                <c:pt idx="9">
                  <c:v>1.7837780000000001</c:v>
                </c:pt>
                <c:pt idx="10">
                  <c:v>1.7755000000000001</c:v>
                </c:pt>
                <c:pt idx="11">
                  <c:v>1.7689889999999999</c:v>
                </c:pt>
                <c:pt idx="12">
                  <c:v>1.763916</c:v>
                </c:pt>
                <c:pt idx="13">
                  <c:v>1.759995</c:v>
                </c:pt>
                <c:pt idx="14">
                  <c:v>1.7569840000000001</c:v>
                </c:pt>
                <c:pt idx="15">
                  <c:v>1.7546839999999999</c:v>
                </c:pt>
                <c:pt idx="16">
                  <c:v>1.752934</c:v>
                </c:pt>
                <c:pt idx="17">
                  <c:v>1.7516080000000001</c:v>
                </c:pt>
                <c:pt idx="18">
                  <c:v>1.750605</c:v>
                </c:pt>
                <c:pt idx="19">
                  <c:v>1.7498480000000001</c:v>
                </c:pt>
                <c:pt idx="20">
                  <c:v>1.7492780000000001</c:v>
                </c:pt>
                <c:pt idx="21">
                  <c:v>1.748848</c:v>
                </c:pt>
                <c:pt idx="22">
                  <c:v>1.7485250000000001</c:v>
                </c:pt>
                <c:pt idx="23">
                  <c:v>1.748283</c:v>
                </c:pt>
                <c:pt idx="24">
                  <c:v>1.7481009999999999</c:v>
                </c:pt>
                <c:pt idx="25">
                  <c:v>1.7479640000000001</c:v>
                </c:pt>
                <c:pt idx="26">
                  <c:v>1.7478610000000001</c:v>
                </c:pt>
                <c:pt idx="27">
                  <c:v>1.747784</c:v>
                </c:pt>
                <c:pt idx="28">
                  <c:v>1.7477259999999999</c:v>
                </c:pt>
                <c:pt idx="29">
                  <c:v>1.7476830000000001</c:v>
                </c:pt>
                <c:pt idx="30">
                  <c:v>1.7476499999999999</c:v>
                </c:pt>
                <c:pt idx="31">
                  <c:v>1.7476259999999999</c:v>
                </c:pt>
                <c:pt idx="32">
                  <c:v>1.7476069999999999</c:v>
                </c:pt>
              </c:numCache>
              <c:extLst xmlns:c15="http://schemas.microsoft.com/office/drawing/2012/chart"/>
            </c:numRef>
          </c:xVal>
          <c:yVal>
            <c:numRef>
              <c:f>Wykresy!$Q$4:$Q$102</c:f>
              <c:numCache>
                <c:formatCode>General</c:formatCode>
                <c:ptCount val="99"/>
                <c:pt idx="0">
                  <c:v>2</c:v>
                </c:pt>
                <c:pt idx="1">
                  <c:v>1.2703930000000001</c:v>
                </c:pt>
                <c:pt idx="2">
                  <c:v>0.72585200000000005</c:v>
                </c:pt>
                <c:pt idx="3">
                  <c:v>0.31962400000000002</c:v>
                </c:pt>
                <c:pt idx="4">
                  <c:v>1.6685999999999999E-2</c:v>
                </c:pt>
                <c:pt idx="5">
                  <c:v>-0.209174</c:v>
                </c:pt>
                <c:pt idx="6">
                  <c:v>-0.377558</c:v>
                </c:pt>
                <c:pt idx="7">
                  <c:v>-0.50311099999999997</c:v>
                </c:pt>
                <c:pt idx="8">
                  <c:v>-0.59675599999999995</c:v>
                </c:pt>
                <c:pt idx="9">
                  <c:v>-0.66663499999999998</c:v>
                </c:pt>
                <c:pt idx="10">
                  <c:v>-0.71880900000000003</c:v>
                </c:pt>
                <c:pt idx="11">
                  <c:v>-0.75778900000000005</c:v>
                </c:pt>
                <c:pt idx="12">
                  <c:v>-0.78692899999999999</c:v>
                </c:pt>
                <c:pt idx="13">
                  <c:v>-0.80872599999999994</c:v>
                </c:pt>
                <c:pt idx="14">
                  <c:v>-0.82503800000000005</c:v>
                </c:pt>
                <c:pt idx="15">
                  <c:v>-0.837252</c:v>
                </c:pt>
                <c:pt idx="16">
                  <c:v>-0.84639900000000001</c:v>
                </c:pt>
                <c:pt idx="17">
                  <c:v>-0.85325300000000004</c:v>
                </c:pt>
                <c:pt idx="18">
                  <c:v>-0.85838899999999996</c:v>
                </c:pt>
                <c:pt idx="19">
                  <c:v>-0.86223899999999998</c:v>
                </c:pt>
                <c:pt idx="20">
                  <c:v>-0.86512500000000003</c:v>
                </c:pt>
                <c:pt idx="21">
                  <c:v>-0.86728899999999998</c:v>
                </c:pt>
                <c:pt idx="22">
                  <c:v>-0.86891099999999999</c:v>
                </c:pt>
                <c:pt idx="23">
                  <c:v>-0.87012800000000001</c:v>
                </c:pt>
                <c:pt idx="24">
                  <c:v>-0.87104000000000004</c:v>
                </c:pt>
                <c:pt idx="25">
                  <c:v>-0.87172400000000005</c:v>
                </c:pt>
                <c:pt idx="26">
                  <c:v>-0.87223700000000004</c:v>
                </c:pt>
                <c:pt idx="27">
                  <c:v>-0.87262200000000001</c:v>
                </c:pt>
                <c:pt idx="28">
                  <c:v>-0.87291099999999999</c:v>
                </c:pt>
                <c:pt idx="29">
                  <c:v>-0.87312699999999999</c:v>
                </c:pt>
                <c:pt idx="30">
                  <c:v>-0.87328899999999998</c:v>
                </c:pt>
                <c:pt idx="31">
                  <c:v>-0.87341100000000005</c:v>
                </c:pt>
                <c:pt idx="32">
                  <c:v>-0.873502</c:v>
                </c:pt>
              </c:numCache>
              <c:extLst xmlns:c15="http://schemas.microsoft.com/office/drawing/2012/chart"/>
            </c:numRef>
          </c:yVal>
          <c:smooth val="1"/>
          <c:extLst>
            <c:ext xmlns:c16="http://schemas.microsoft.com/office/drawing/2014/chart" uri="{C3380CC4-5D6E-409C-BE32-E72D297353CC}">
              <c16:uniqueId val="{00000006-A703-445B-AFAE-66EB29B08043}"/>
            </c:ext>
          </c:extLst>
        </c:ser>
        <c:ser>
          <c:idx val="2"/>
          <c:order val="8"/>
          <c:tx>
            <c:v>Newton zmeinny</c:v>
          </c:tx>
          <c:spPr>
            <a:ln w="19050" cap="rnd">
              <a:solidFill>
                <a:schemeClr val="tx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75000"/>
                </a:schemeClr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Wykresy!$R$4:$R$102</c:f>
              <c:numCache>
                <c:formatCode>General</c:formatCode>
                <c:ptCount val="99"/>
                <c:pt idx="0">
                  <c:v>2</c:v>
                </c:pt>
                <c:pt idx="1">
                  <c:v>1.8349740000000001</c:v>
                </c:pt>
                <c:pt idx="2">
                  <c:v>1.7481500000000001</c:v>
                </c:pt>
                <c:pt idx="3">
                  <c:v>1.7475529999999999</c:v>
                </c:pt>
                <c:pt idx="4">
                  <c:v>1.747552</c:v>
                </c:pt>
              </c:numCache>
              <c:extLst xmlns:c15="http://schemas.microsoft.com/office/drawing/2012/chart"/>
            </c:numRef>
          </c:xVal>
          <c:yVal>
            <c:numRef>
              <c:f>Wykresy!$S$4:$S$102</c:f>
              <c:numCache>
                <c:formatCode>General</c:formatCode>
                <c:ptCount val="99"/>
                <c:pt idx="0">
                  <c:v>2</c:v>
                </c:pt>
                <c:pt idx="1">
                  <c:v>-0.95213800000000004</c:v>
                </c:pt>
                <c:pt idx="2">
                  <c:v>-0.86686099999999999</c:v>
                </c:pt>
                <c:pt idx="3">
                  <c:v>-0.87377700000000003</c:v>
                </c:pt>
                <c:pt idx="4">
                  <c:v>-0.873776</c:v>
                </c:pt>
              </c:numCache>
              <c:extLst xmlns:c15="http://schemas.microsoft.com/office/drawing/2012/chart"/>
            </c:numRef>
          </c:yVal>
          <c:smooth val="1"/>
          <c:extLst>
            <c:ext xmlns:c16="http://schemas.microsoft.com/office/drawing/2014/chart" uri="{C3380CC4-5D6E-409C-BE32-E72D297353CC}">
              <c16:uniqueId val="{00000008-A703-445B-AFAE-66EB29B08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4716432"/>
        <c:axId val="1594714992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0"/>
                <c:tx>
                  <c:v>SD 0.05</c:v>
                </c:tx>
                <c:xVal>
                  <c:numRef>
                    <c:extLst>
                      <c:ext uri="{02D57815-91ED-43cb-92C2-25804820EDAC}">
                        <c15:formulaRef>
                          <c15:sqref>Wykresy!$B$4:$B$63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1.58</c:v>
                      </c:pt>
                      <c:pt idx="2">
                        <c:v>1.5149760000000001</c:v>
                      </c:pt>
                      <c:pt idx="3">
                        <c:v>1.470599</c:v>
                      </c:pt>
                      <c:pt idx="4">
                        <c:v>1.43895</c:v>
                      </c:pt>
                      <c:pt idx="5">
                        <c:v>1.416706</c:v>
                      </c:pt>
                      <c:pt idx="6">
                        <c:v>1.4022209999999999</c:v>
                      </c:pt>
                      <c:pt idx="7">
                        <c:v>1.39463</c:v>
                      </c:pt>
                      <c:pt idx="8">
                        <c:v>1.3934770000000001</c:v>
                      </c:pt>
                      <c:pt idx="9">
                        <c:v>1.3985240000000001</c:v>
                      </c:pt>
                      <c:pt idx="10">
                        <c:v>1.4096280000000001</c:v>
                      </c:pt>
                      <c:pt idx="11">
                        <c:v>1.4266209999999999</c:v>
                      </c:pt>
                      <c:pt idx="12">
                        <c:v>1.4491860000000001</c:v>
                      </c:pt>
                      <c:pt idx="13">
                        <c:v>1.476718</c:v>
                      </c:pt>
                      <c:pt idx="14">
                        <c:v>1.5081739999999999</c:v>
                      </c:pt>
                      <c:pt idx="15">
                        <c:v>1.5419830000000001</c:v>
                      </c:pt>
                      <c:pt idx="16">
                        <c:v>1.5760879999999999</c:v>
                      </c:pt>
                      <c:pt idx="17">
                        <c:v>1.6082259999999999</c:v>
                      </c:pt>
                      <c:pt idx="18">
                        <c:v>1.6364179999999999</c:v>
                      </c:pt>
                      <c:pt idx="19">
                        <c:v>1.6594850000000001</c:v>
                      </c:pt>
                      <c:pt idx="20">
                        <c:v>1.6772769999999999</c:v>
                      </c:pt>
                      <c:pt idx="21">
                        <c:v>1.6904699999999999</c:v>
                      </c:pt>
                      <c:pt idx="22">
                        <c:v>1.7001189999999999</c:v>
                      </c:pt>
                      <c:pt idx="23">
                        <c:v>1.7072579999999999</c:v>
                      </c:pt>
                      <c:pt idx="24">
                        <c:v>1.712699</c:v>
                      </c:pt>
                      <c:pt idx="25">
                        <c:v>1.7170019999999999</c:v>
                      </c:pt>
                      <c:pt idx="26">
                        <c:v>1.720529</c:v>
                      </c:pt>
                      <c:pt idx="27">
                        <c:v>1.7235050000000001</c:v>
                      </c:pt>
                      <c:pt idx="28">
                        <c:v>1.7260679999999999</c:v>
                      </c:pt>
                      <c:pt idx="29">
                        <c:v>1.728307</c:v>
                      </c:pt>
                      <c:pt idx="30">
                        <c:v>1.7302820000000001</c:v>
                      </c:pt>
                      <c:pt idx="31">
                        <c:v>1.7320340000000001</c:v>
                      </c:pt>
                      <c:pt idx="32">
                        <c:v>1.7335940000000001</c:v>
                      </c:pt>
                      <c:pt idx="33">
                        <c:v>1.734988</c:v>
                      </c:pt>
                      <c:pt idx="34">
                        <c:v>1.7362359999999999</c:v>
                      </c:pt>
                      <c:pt idx="35">
                        <c:v>1.7373540000000001</c:v>
                      </c:pt>
                      <c:pt idx="36">
                        <c:v>1.7383580000000001</c:v>
                      </c:pt>
                      <c:pt idx="37">
                        <c:v>1.7392590000000001</c:v>
                      </c:pt>
                      <c:pt idx="38">
                        <c:v>1.74007</c:v>
                      </c:pt>
                      <c:pt idx="39">
                        <c:v>1.740799</c:v>
                      </c:pt>
                      <c:pt idx="40">
                        <c:v>1.7414559999999999</c:v>
                      </c:pt>
                      <c:pt idx="41">
                        <c:v>1.7420469999999999</c:v>
                      </c:pt>
                      <c:pt idx="42">
                        <c:v>1.74258</c:v>
                      </c:pt>
                      <c:pt idx="43">
                        <c:v>1.743061</c:v>
                      </c:pt>
                      <c:pt idx="44">
                        <c:v>1.7434940000000001</c:v>
                      </c:pt>
                      <c:pt idx="45">
                        <c:v>1.7438849999999999</c:v>
                      </c:pt>
                      <c:pt idx="46">
                        <c:v>1.744238</c:v>
                      </c:pt>
                      <c:pt idx="47">
                        <c:v>1.7445569999999999</c:v>
                      </c:pt>
                      <c:pt idx="48">
                        <c:v>1.7448440000000001</c:v>
                      </c:pt>
                      <c:pt idx="49">
                        <c:v>1.745104</c:v>
                      </c:pt>
                      <c:pt idx="50">
                        <c:v>1.745339</c:v>
                      </c:pt>
                      <c:pt idx="51">
                        <c:v>1.7455510000000001</c:v>
                      </c:pt>
                      <c:pt idx="52">
                        <c:v>1.7457419999999999</c:v>
                      </c:pt>
                      <c:pt idx="53">
                        <c:v>1.745916</c:v>
                      </c:pt>
                      <c:pt idx="54">
                        <c:v>1.7460720000000001</c:v>
                      </c:pt>
                      <c:pt idx="55">
                        <c:v>1.7462139999999999</c:v>
                      </c:pt>
                      <c:pt idx="56">
                        <c:v>1.7463409999999999</c:v>
                      </c:pt>
                      <c:pt idx="57">
                        <c:v>1.7464569999999999</c:v>
                      </c:pt>
                      <c:pt idx="58">
                        <c:v>1.7465619999999999</c:v>
                      </c:pt>
                      <c:pt idx="59">
                        <c:v>1.746656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Wykresy!$C$4:$C$63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1.7</c:v>
                      </c:pt>
                      <c:pt idx="2">
                        <c:v>1.4510000000000001</c:v>
                      </c:pt>
                      <c:pt idx="3">
                        <c:v>1.230151</c:v>
                      </c:pt>
                      <c:pt idx="4">
                        <c:v>1.033606</c:v>
                      </c:pt>
                      <c:pt idx="5">
                        <c:v>0.85829800000000001</c:v>
                      </c:pt>
                      <c:pt idx="6">
                        <c:v>0.70163299999999995</c:v>
                      </c:pt>
                      <c:pt idx="7">
                        <c:v>0.56135900000000005</c:v>
                      </c:pt>
                      <c:pt idx="8">
                        <c:v>0.43549100000000002</c:v>
                      </c:pt>
                      <c:pt idx="9">
                        <c:v>0.322268</c:v>
                      </c:pt>
                      <c:pt idx="10">
                        <c:v>0.22011500000000001</c:v>
                      </c:pt>
                      <c:pt idx="11">
                        <c:v>0.12762200000000001</c:v>
                      </c:pt>
                      <c:pt idx="12">
                        <c:v>4.3528999999999998E-2</c:v>
                      </c:pt>
                      <c:pt idx="13">
                        <c:v>-3.3283E-2</c:v>
                      </c:pt>
                      <c:pt idx="14">
                        <c:v>-0.10379099999999999</c:v>
                      </c:pt>
                      <c:pt idx="15">
                        <c:v>-0.16882</c:v>
                      </c:pt>
                      <c:pt idx="16">
                        <c:v>-0.22903699999999999</c:v>
                      </c:pt>
                      <c:pt idx="17">
                        <c:v>-0.28493800000000002</c:v>
                      </c:pt>
                      <c:pt idx="18">
                        <c:v>-0.33685599999999999</c:v>
                      </c:pt>
                      <c:pt idx="19">
                        <c:v>-0.38499100000000003</c:v>
                      </c:pt>
                      <c:pt idx="20">
                        <c:v>-0.42946600000000001</c:v>
                      </c:pt>
                      <c:pt idx="21">
                        <c:v>-0.470383</c:v>
                      </c:pt>
                      <c:pt idx="22">
                        <c:v>-0.50786900000000001</c:v>
                      </c:pt>
                      <c:pt idx="23">
                        <c:v>-0.54208800000000001</c:v>
                      </c:pt>
                      <c:pt idx="24">
                        <c:v>-0.57324200000000003</c:v>
                      </c:pt>
                      <c:pt idx="25">
                        <c:v>-0.601553</c:v>
                      </c:pt>
                      <c:pt idx="26">
                        <c:v>-0.627247</c:v>
                      </c:pt>
                      <c:pt idx="27">
                        <c:v>-0.65054900000000004</c:v>
                      </c:pt>
                      <c:pt idx="28">
                        <c:v>-0.67166899999999996</c:v>
                      </c:pt>
                      <c:pt idx="29">
                        <c:v>-0.69080600000000003</c:v>
                      </c:pt>
                      <c:pt idx="30">
                        <c:v>-0.70814100000000002</c:v>
                      </c:pt>
                      <c:pt idx="31">
                        <c:v>-0.72384099999999996</c:v>
                      </c:pt>
                      <c:pt idx="32">
                        <c:v>-0.73805799999999999</c:v>
                      </c:pt>
                      <c:pt idx="33">
                        <c:v>-0.75093200000000004</c:v>
                      </c:pt>
                      <c:pt idx="34">
                        <c:v>-0.76258800000000004</c:v>
                      </c:pt>
                      <c:pt idx="35">
                        <c:v>-0.77314099999999997</c:v>
                      </c:pt>
                      <c:pt idx="36">
                        <c:v>-0.78269500000000003</c:v>
                      </c:pt>
                      <c:pt idx="37">
                        <c:v>-0.79134300000000002</c:v>
                      </c:pt>
                      <c:pt idx="38">
                        <c:v>-0.79917199999999999</c:v>
                      </c:pt>
                      <c:pt idx="39">
                        <c:v>-0.80625800000000003</c:v>
                      </c:pt>
                      <c:pt idx="40">
                        <c:v>-0.81267199999999995</c:v>
                      </c:pt>
                      <c:pt idx="41">
                        <c:v>-0.81847800000000004</c:v>
                      </c:pt>
                      <c:pt idx="42">
                        <c:v>-0.82373200000000002</c:v>
                      </c:pt>
                      <c:pt idx="43">
                        <c:v>-0.828488</c:v>
                      </c:pt>
                      <c:pt idx="44">
                        <c:v>-0.83279199999999998</c:v>
                      </c:pt>
                      <c:pt idx="45">
                        <c:v>-0.83668799999999999</c:v>
                      </c:pt>
                      <c:pt idx="46">
                        <c:v>-0.84021299999999999</c:v>
                      </c:pt>
                      <c:pt idx="47">
                        <c:v>-0.84340400000000004</c:v>
                      </c:pt>
                      <c:pt idx="48">
                        <c:v>-0.84629100000000002</c:v>
                      </c:pt>
                      <c:pt idx="49">
                        <c:v>-0.84890399999999999</c:v>
                      </c:pt>
                      <c:pt idx="50">
                        <c:v>-0.85126900000000005</c:v>
                      </c:pt>
                      <c:pt idx="51">
                        <c:v>-0.85340899999999997</c:v>
                      </c:pt>
                      <c:pt idx="52">
                        <c:v>-0.85534600000000005</c:v>
                      </c:pt>
                      <c:pt idx="53">
                        <c:v>-0.85709800000000003</c:v>
                      </c:pt>
                      <c:pt idx="54">
                        <c:v>-0.858684</c:v>
                      </c:pt>
                      <c:pt idx="55">
                        <c:v>-0.86012</c:v>
                      </c:pt>
                      <c:pt idx="56">
                        <c:v>-0.86141800000000002</c:v>
                      </c:pt>
                      <c:pt idx="57">
                        <c:v>-0.86259300000000005</c:v>
                      </c:pt>
                      <c:pt idx="58">
                        <c:v>-0.86365700000000001</c:v>
                      </c:pt>
                      <c:pt idx="59">
                        <c:v>-0.86461900000000003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A703-445B-AFAE-66EB29B08043}"/>
                  </c:ext>
                </c:extLst>
              </c15:ser>
            </c15:filteredScatterSeries>
            <c15:filteredScatterSeries>
              <c15:ser>
                <c:idx val="4"/>
                <c:order val="1"/>
                <c:tx>
                  <c:v>CG</c:v>
                </c:tx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Wykresy!$H$4:$H$63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1.58</c:v>
                      </c:pt>
                      <c:pt idx="2">
                        <c:v>1.410561</c:v>
                      </c:pt>
                      <c:pt idx="3">
                        <c:v>1.2546809999999999</c:v>
                      </c:pt>
                      <c:pt idx="4">
                        <c:v>1.124342</c:v>
                      </c:pt>
                      <c:pt idx="5">
                        <c:v>1.0117670000000001</c:v>
                      </c:pt>
                      <c:pt idx="6">
                        <c:v>0.90291600000000005</c:v>
                      </c:pt>
                      <c:pt idx="7">
                        <c:v>0.78082799999999997</c:v>
                      </c:pt>
                      <c:pt idx="8">
                        <c:v>0.62366299999999997</c:v>
                      </c:pt>
                      <c:pt idx="9">
                        <c:v>0.41953400000000002</c:v>
                      </c:pt>
                      <c:pt idx="10">
                        <c:v>0.20857700000000001</c:v>
                      </c:pt>
                      <c:pt idx="11">
                        <c:v>-1.6990999999999999E-2</c:v>
                      </c:pt>
                      <c:pt idx="12">
                        <c:v>-0.45032299999999997</c:v>
                      </c:pt>
                      <c:pt idx="13">
                        <c:v>-1.728939</c:v>
                      </c:pt>
                      <c:pt idx="14">
                        <c:v>-3.414193</c:v>
                      </c:pt>
                      <c:pt idx="15">
                        <c:v>-14856.973575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Wykresy!$I$4:$I$63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1.7</c:v>
                      </c:pt>
                      <c:pt idx="2">
                        <c:v>1.3764179999999999</c:v>
                      </c:pt>
                      <c:pt idx="3">
                        <c:v>0.94840500000000005</c:v>
                      </c:pt>
                      <c:pt idx="4">
                        <c:v>0.54014600000000002</c:v>
                      </c:pt>
                      <c:pt idx="5">
                        <c:v>0.21272199999999999</c:v>
                      </c:pt>
                      <c:pt idx="6">
                        <c:v>-3.4669999999999999E-2</c:v>
                      </c:pt>
                      <c:pt idx="7">
                        <c:v>-0.23047500000000001</c:v>
                      </c:pt>
                      <c:pt idx="8">
                        <c:v>-0.40361799999999998</c:v>
                      </c:pt>
                      <c:pt idx="9">
                        <c:v>-0.55506100000000003</c:v>
                      </c:pt>
                      <c:pt idx="10">
                        <c:v>-0.64640299999999995</c:v>
                      </c:pt>
                      <c:pt idx="11">
                        <c:v>-0.686608</c:v>
                      </c:pt>
                      <c:pt idx="12">
                        <c:v>-0.70106000000000002</c:v>
                      </c:pt>
                      <c:pt idx="13">
                        <c:v>-0.65464299999999997</c:v>
                      </c:pt>
                      <c:pt idx="14">
                        <c:v>-0.43917</c:v>
                      </c:pt>
                      <c:pt idx="15">
                        <c:v>1900.905342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703-445B-AFAE-66EB29B08043}"/>
                  </c:ext>
                </c:extLst>
              </c15:ser>
            </c15:filteredScatterSeries>
            <c15:filteredScatterSeries>
              <c15:ser>
                <c:idx val="6"/>
                <c:order val="3"/>
                <c:tx>
                  <c:v>SD 0.25</c:v>
                </c:tx>
                <c:spPr>
                  <a:ln w="19050" cap="rnd">
                    <a:solidFill>
                      <a:schemeClr val="accent3">
                        <a:lumMod val="75000"/>
                      </a:schemeClr>
                    </a:solidFill>
                    <a:round/>
                  </a:ln>
                  <a:effectLst/>
                </c:spPr>
                <c:marker>
                  <c:spPr>
                    <a:solidFill>
                      <a:schemeClr val="accent3">
                        <a:lumMod val="75000"/>
                      </a:schemeClr>
                    </a:solidFill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Wykresy!$D$4:$D$63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-0.1</c:v>
                      </c:pt>
                      <c:pt idx="2">
                        <c:v>-0.12604699999999999</c:v>
                      </c:pt>
                      <c:pt idx="3">
                        <c:v>-7.0845000000000005E-2</c:v>
                      </c:pt>
                      <c:pt idx="4">
                        <c:v>-4.2625999999999997E-2</c:v>
                      </c:pt>
                      <c:pt idx="5">
                        <c:v>-2.5635999999999999E-2</c:v>
                      </c:pt>
                      <c:pt idx="6">
                        <c:v>-1.5459000000000001E-2</c:v>
                      </c:pt>
                      <c:pt idx="7">
                        <c:v>-9.3270000000000002E-3</c:v>
                      </c:pt>
                      <c:pt idx="8">
                        <c:v>-5.6280000000000002E-3</c:v>
                      </c:pt>
                      <c:pt idx="9">
                        <c:v>-3.3969999999999998E-3</c:v>
                      </c:pt>
                      <c:pt idx="10">
                        <c:v>-2.0500000000000002E-3</c:v>
                      </c:pt>
                      <c:pt idx="11">
                        <c:v>-1.237E-3</c:v>
                      </c:pt>
                      <c:pt idx="12">
                        <c:v>-7.4700000000000005E-4</c:v>
                      </c:pt>
                      <c:pt idx="13">
                        <c:v>-4.5100000000000001E-4</c:v>
                      </c:pt>
                      <c:pt idx="14">
                        <c:v>-2.72E-4</c:v>
                      </c:pt>
                      <c:pt idx="15">
                        <c:v>-1.64E-4</c:v>
                      </c:pt>
                      <c:pt idx="16">
                        <c:v>-9.8999999999999994E-5</c:v>
                      </c:pt>
                      <c:pt idx="17">
                        <c:v>-6.0000000000000002E-5</c:v>
                      </c:pt>
                      <c:pt idx="18">
                        <c:v>-3.6000000000000001E-5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Wykresy!$E$4:$E$63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0.5</c:v>
                      </c:pt>
                      <c:pt idx="2">
                        <c:v>0.27500000000000002</c:v>
                      </c:pt>
                      <c:pt idx="3">
                        <c:v>0.169012</c:v>
                      </c:pt>
                      <c:pt idx="4">
                        <c:v>0.102217</c:v>
                      </c:pt>
                      <c:pt idx="5">
                        <c:v>6.1765E-2</c:v>
                      </c:pt>
                      <c:pt idx="6">
                        <c:v>3.7290999999999998E-2</c:v>
                      </c:pt>
                      <c:pt idx="7">
                        <c:v>2.2509999999999999E-2</c:v>
                      </c:pt>
                      <c:pt idx="8">
                        <c:v>1.3587E-2</c:v>
                      </c:pt>
                      <c:pt idx="9">
                        <c:v>8.201E-3</c:v>
                      </c:pt>
                      <c:pt idx="10">
                        <c:v>4.9500000000000004E-3</c:v>
                      </c:pt>
                      <c:pt idx="11">
                        <c:v>2.9870000000000001E-3</c:v>
                      </c:pt>
                      <c:pt idx="12">
                        <c:v>1.8029999999999999E-3</c:v>
                      </c:pt>
                      <c:pt idx="13">
                        <c:v>1.088E-3</c:v>
                      </c:pt>
                      <c:pt idx="14">
                        <c:v>6.5700000000000003E-4</c:v>
                      </c:pt>
                      <c:pt idx="15">
                        <c:v>3.9599999999999998E-4</c:v>
                      </c:pt>
                      <c:pt idx="16">
                        <c:v>2.3900000000000001E-4</c:v>
                      </c:pt>
                      <c:pt idx="17">
                        <c:v>1.44E-4</c:v>
                      </c:pt>
                      <c:pt idx="18">
                        <c:v>8.7000000000000001E-5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A703-445B-AFAE-66EB29B08043}"/>
                  </c:ext>
                </c:extLst>
              </c15:ser>
            </c15:filteredScatterSeries>
            <c15:filteredScatterSeries>
              <c15:ser>
                <c:idx val="7"/>
                <c:order val="4"/>
                <c:tx>
                  <c:v>CG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Wykresy!$J$4:$J$63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-0.1</c:v>
                      </c:pt>
                      <c:pt idx="2">
                        <c:v>-0.14222399999999999</c:v>
                      </c:pt>
                      <c:pt idx="3">
                        <c:v>-8.0907999999999994E-2</c:v>
                      </c:pt>
                      <c:pt idx="4">
                        <c:v>-8.9560000000000004E-3</c:v>
                      </c:pt>
                      <c:pt idx="5">
                        <c:v>-4.2789999999999998E-3</c:v>
                      </c:pt>
                      <c:pt idx="6">
                        <c:v>-2.0709999999999999E-3</c:v>
                      </c:pt>
                      <c:pt idx="7">
                        <c:v>-8.0800000000000002E-4</c:v>
                      </c:pt>
                      <c:pt idx="8">
                        <c:v>-2.22E-4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Wykresy!$K$4:$K$63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0.5</c:v>
                      </c:pt>
                      <c:pt idx="2">
                        <c:v>0.26344499999999998</c:v>
                      </c:pt>
                      <c:pt idx="3">
                        <c:v>9.9824999999999997E-2</c:v>
                      </c:pt>
                      <c:pt idx="4">
                        <c:v>2.5961000000000001E-2</c:v>
                      </c:pt>
                      <c:pt idx="5">
                        <c:v>1.2947999999999999E-2</c:v>
                      </c:pt>
                      <c:pt idx="6">
                        <c:v>4.2979999999999997E-3</c:v>
                      </c:pt>
                      <c:pt idx="7">
                        <c:v>1.6230000000000001E-3</c:v>
                      </c:pt>
                      <c:pt idx="8">
                        <c:v>6.2299999999999996E-4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703-445B-AFAE-66EB29B08043}"/>
                  </c:ext>
                </c:extLst>
              </c15:ser>
            </c15:filteredScatterSeries>
            <c15:filteredScatterSeries>
              <c15:ser>
                <c:idx val="0"/>
                <c:order val="6"/>
                <c:tx>
                  <c:v>SD zmienny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Wykresy!$F$4:$F$63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-0.222219</c:v>
                      </c:pt>
                      <c:pt idx="2">
                        <c:v>3.5708999999999998E-2</c:v>
                      </c:pt>
                      <c:pt idx="3">
                        <c:v>-9.7660000000000004E-3</c:v>
                      </c:pt>
                      <c:pt idx="4">
                        <c:v>1.8580000000000001E-3</c:v>
                      </c:pt>
                      <c:pt idx="5">
                        <c:v>-5.1199999999999998E-4</c:v>
                      </c:pt>
                      <c:pt idx="6">
                        <c:v>9.7E-5</c:v>
                      </c:pt>
                      <c:pt idx="7">
                        <c:v>-2.6999999999999999E-5</c:v>
                      </c:pt>
                      <c:pt idx="8">
                        <c:v>5.0000000000000004E-6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Wykresy!$G$4:$G$63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0.41270099999999998</c:v>
                      </c:pt>
                      <c:pt idx="2">
                        <c:v>5.142E-2</c:v>
                      </c:pt>
                      <c:pt idx="3">
                        <c:v>1.8953999999999999E-2</c:v>
                      </c:pt>
                      <c:pt idx="4">
                        <c:v>2.686E-3</c:v>
                      </c:pt>
                      <c:pt idx="5">
                        <c:v>9.9299999999999996E-4</c:v>
                      </c:pt>
                      <c:pt idx="6">
                        <c:v>1.4100000000000001E-4</c:v>
                      </c:pt>
                      <c:pt idx="7">
                        <c:v>5.1999999999999997E-5</c:v>
                      </c:pt>
                      <c:pt idx="8">
                        <c:v>6.9999999999999999E-6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703-445B-AFAE-66EB29B08043}"/>
                  </c:ext>
                </c:extLst>
              </c15:ser>
            </c15:filteredScatterSeries>
            <c15:filteredScatterSeries>
              <c15:ser>
                <c:idx val="1"/>
                <c:order val="7"/>
                <c:tx>
                  <c:v>CG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Wykresy!$L$4:$L$63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-0.222219</c:v>
                      </c:pt>
                      <c:pt idx="2">
                        <c:v>1.8286E-2</c:v>
                      </c:pt>
                      <c:pt idx="3">
                        <c:v>-1.4300000000000001E-3</c:v>
                      </c:pt>
                      <c:pt idx="4">
                        <c:v>2.3900000000000001E-4</c:v>
                      </c:pt>
                      <c:pt idx="5">
                        <c:v>-1.2E-5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Wykresy!$M$4:$M$63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</c:v>
                      </c:pt>
                      <c:pt idx="1">
                        <c:v>0.41270099999999998</c:v>
                      </c:pt>
                      <c:pt idx="2">
                        <c:v>1.8963000000000001E-2</c:v>
                      </c:pt>
                      <c:pt idx="3">
                        <c:v>2.591E-3</c:v>
                      </c:pt>
                      <c:pt idx="4">
                        <c:v>3.9199999999999999E-4</c:v>
                      </c:pt>
                      <c:pt idx="5">
                        <c:v>1.5999999999999999E-5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703-445B-AFAE-66EB29B08043}"/>
                  </c:ext>
                </c:extLst>
              </c15:ser>
            </c15:filteredScatterSeries>
          </c:ext>
        </c:extLst>
      </c:scatterChart>
      <c:valAx>
        <c:axId val="1594716432"/>
        <c:scaling>
          <c:orientation val="minMax"/>
          <c:max val="2"/>
          <c:min val="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x1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714992"/>
        <c:crosses val="autoZero"/>
        <c:crossBetween val="midCat"/>
      </c:valAx>
      <c:valAx>
        <c:axId val="1594714992"/>
        <c:scaling>
          <c:orientation val="minMax"/>
          <c:max val="2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x2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716432"/>
        <c:crosses val="autoZero"/>
        <c:crossBetween val="midCat"/>
      </c:valAx>
      <c:spPr>
        <a:blipFill dpi="0" rotWithShape="1">
          <a:blip xmlns:r="http://schemas.openxmlformats.org/officeDocument/2006/relationships" r:embed="rId1">
            <a:alphaModFix amt="30000"/>
          </a:blip>
          <a:srcRect/>
          <a:stretch>
            <a:fillRect/>
          </a:stretch>
        </a:blip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Klasyfikator</a:t>
            </a:r>
            <a:endParaRPr lang="en-GB"/>
          </a:p>
        </c:rich>
      </c:tx>
      <c:layout>
        <c:manualLayout>
          <c:xMode val="edge"/>
          <c:yMode val="edge"/>
          <c:x val="0.41646972378413494"/>
          <c:y val="2.777776160734608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nie przyjęty</c:v>
          </c:tx>
          <c:spPr>
            <a:ln w="28575">
              <a:noFill/>
            </a:ln>
          </c:spPr>
          <c:marker>
            <c:spPr>
              <a:solidFill>
                <a:schemeClr val="accent2"/>
              </a:solidFill>
            </c:spPr>
          </c:marker>
          <c:dPt>
            <c:idx val="57"/>
            <c:marker>
              <c:symbol val="diamond"/>
              <c:size val="7"/>
            </c:marker>
            <c:bubble3D val="0"/>
            <c:extLst>
              <c:ext xmlns:c16="http://schemas.microsoft.com/office/drawing/2014/chart" uri="{C3380CC4-5D6E-409C-BE32-E72D297353CC}">
                <c16:uniqueId val="{00000004-EDEE-4524-A60E-57480FA23D45}"/>
              </c:ext>
            </c:extLst>
          </c:dPt>
          <c:xVal>
            <c:numRef>
              <c:f>Wykres!$H$14:$H$113</c:f>
              <c:numCache>
                <c:formatCode>General</c:formatCode>
                <c:ptCount val="1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71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50</c:v>
                </c:pt>
                <c:pt idx="9">
                  <c:v>#N/A</c:v>
                </c:pt>
                <c:pt idx="10">
                  <c:v>#N/A</c:v>
                </c:pt>
                <c:pt idx="11">
                  <c:v>40</c:v>
                </c:pt>
                <c:pt idx="12">
                  <c:v>#N/A</c:v>
                </c:pt>
                <c:pt idx="13">
                  <c:v>28</c:v>
                </c:pt>
                <c:pt idx="14">
                  <c:v>#N/A</c:v>
                </c:pt>
                <c:pt idx="15">
                  <c:v>35</c:v>
                </c:pt>
                <c:pt idx="16">
                  <c:v>#N/A</c:v>
                </c:pt>
                <c:pt idx="17">
                  <c:v>29</c:v>
                </c:pt>
                <c:pt idx="18">
                  <c:v>44</c:v>
                </c:pt>
                <c:pt idx="19">
                  <c:v>#N/A</c:v>
                </c:pt>
                <c:pt idx="20">
                  <c:v>22</c:v>
                </c:pt>
                <c:pt idx="21">
                  <c:v>#N/A</c:v>
                </c:pt>
                <c:pt idx="22">
                  <c:v>#N/A</c:v>
                </c:pt>
                <c:pt idx="23">
                  <c:v>26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28</c:v>
                </c:pt>
                <c:pt idx="35">
                  <c:v>37</c:v>
                </c:pt>
                <c:pt idx="36">
                  <c:v>#N/A</c:v>
                </c:pt>
                <c:pt idx="37">
                  <c:v>26</c:v>
                </c:pt>
                <c:pt idx="38">
                  <c:v>#N/A</c:v>
                </c:pt>
                <c:pt idx="39">
                  <c:v>#N/A</c:v>
                </c:pt>
                <c:pt idx="40">
                  <c:v>23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31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33</c:v>
                </c:pt>
                <c:pt idx="53">
                  <c:v>#N/A</c:v>
                </c:pt>
                <c:pt idx="54">
                  <c:v>78</c:v>
                </c:pt>
                <c:pt idx="55">
                  <c:v>#N/A</c:v>
                </c:pt>
                <c:pt idx="56">
                  <c:v>#N/A</c:v>
                </c:pt>
                <c:pt idx="57">
                  <c:v>36</c:v>
                </c:pt>
                <c:pt idx="58">
                  <c:v>#N/A</c:v>
                </c:pt>
                <c:pt idx="59">
                  <c:v>#N/A</c:v>
                </c:pt>
                <c:pt idx="60">
                  <c:v>36</c:v>
                </c:pt>
                <c:pt idx="61">
                  <c:v>38</c:v>
                </c:pt>
                <c:pt idx="62">
                  <c:v>#N/A</c:v>
                </c:pt>
                <c:pt idx="63">
                  <c:v>97</c:v>
                </c:pt>
                <c:pt idx="64">
                  <c:v>95</c:v>
                </c:pt>
                <c:pt idx="65">
                  <c:v>54</c:v>
                </c:pt>
                <c:pt idx="66">
                  <c:v>#N/A</c:v>
                </c:pt>
                <c:pt idx="67">
                  <c:v>94</c:v>
                </c:pt>
                <c:pt idx="68">
                  <c:v>65</c:v>
                </c:pt>
                <c:pt idx="69">
                  <c:v>#N/A</c:v>
                </c:pt>
                <c:pt idx="70">
                  <c:v>#N/A</c:v>
                </c:pt>
                <c:pt idx="71">
                  <c:v>37</c:v>
                </c:pt>
                <c:pt idx="72">
                  <c:v>#N/A</c:v>
                </c:pt>
                <c:pt idx="73">
                  <c:v>31</c:v>
                </c:pt>
                <c:pt idx="74">
                  <c:v>#N/A</c:v>
                </c:pt>
                <c:pt idx="75">
                  <c:v>35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21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65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56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</c:numCache>
            </c:numRef>
          </c:xVal>
          <c:yVal>
            <c:numRef>
              <c:f>Wykres!$I$14:$I$113</c:f>
              <c:numCache>
                <c:formatCode>General</c:formatCode>
                <c:ptCount val="100"/>
                <c:pt idx="3">
                  <c:v>25</c:v>
                </c:pt>
                <c:pt idx="8">
                  <c:v>34</c:v>
                </c:pt>
                <c:pt idx="11">
                  <c:v>49</c:v>
                </c:pt>
                <c:pt idx="13">
                  <c:v>56</c:v>
                </c:pt>
                <c:pt idx="15">
                  <c:v>35</c:v>
                </c:pt>
                <c:pt idx="17">
                  <c:v>75</c:v>
                </c:pt>
                <c:pt idx="18">
                  <c:v>30</c:v>
                </c:pt>
                <c:pt idx="20">
                  <c:v>77</c:v>
                </c:pt>
                <c:pt idx="23">
                  <c:v>87</c:v>
                </c:pt>
                <c:pt idx="34">
                  <c:v>45</c:v>
                </c:pt>
                <c:pt idx="35">
                  <c:v>38</c:v>
                </c:pt>
                <c:pt idx="37">
                  <c:v>34</c:v>
                </c:pt>
                <c:pt idx="40">
                  <c:v>49</c:v>
                </c:pt>
                <c:pt idx="46">
                  <c:v>45</c:v>
                </c:pt>
                <c:pt idx="52">
                  <c:v>70</c:v>
                </c:pt>
                <c:pt idx="54">
                  <c:v>25</c:v>
                </c:pt>
                <c:pt idx="57">
                  <c:v>55</c:v>
                </c:pt>
                <c:pt idx="60">
                  <c:v>49</c:v>
                </c:pt>
                <c:pt idx="61">
                  <c:v>56</c:v>
                </c:pt>
                <c:pt idx="63">
                  <c:v>26</c:v>
                </c:pt>
                <c:pt idx="64">
                  <c:v>21</c:v>
                </c:pt>
                <c:pt idx="65">
                  <c:v>34</c:v>
                </c:pt>
                <c:pt idx="67">
                  <c:v>25</c:v>
                </c:pt>
                <c:pt idx="68">
                  <c:v>27</c:v>
                </c:pt>
                <c:pt idx="71">
                  <c:v>63</c:v>
                </c:pt>
                <c:pt idx="73">
                  <c:v>52</c:v>
                </c:pt>
                <c:pt idx="75">
                  <c:v>72</c:v>
                </c:pt>
                <c:pt idx="79">
                  <c:v>28</c:v>
                </c:pt>
                <c:pt idx="83">
                  <c:v>28</c:v>
                </c:pt>
                <c:pt idx="94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DEE-4524-A60E-57480FA23D45}"/>
            </c:ext>
          </c:extLst>
        </c:ser>
        <c:ser>
          <c:idx val="0"/>
          <c:order val="1"/>
          <c:tx>
            <c:v>przyjęty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Wykres!$F$14:$F$113</c:f>
              <c:numCache>
                <c:formatCode>General</c:formatCode>
                <c:ptCount val="100"/>
                <c:pt idx="0">
                  <c:v>57</c:v>
                </c:pt>
                <c:pt idx="1">
                  <c:v>86</c:v>
                </c:pt>
                <c:pt idx="2">
                  <c:v>86</c:v>
                </c:pt>
                <c:pt idx="3">
                  <c:v>#N/A</c:v>
                </c:pt>
                <c:pt idx="4">
                  <c:v>75</c:v>
                </c:pt>
                <c:pt idx="5">
                  <c:v>84</c:v>
                </c:pt>
                <c:pt idx="6">
                  <c:v>89</c:v>
                </c:pt>
                <c:pt idx="7">
                  <c:v>68</c:v>
                </c:pt>
                <c:pt idx="8">
                  <c:v>#N/A</c:v>
                </c:pt>
                <c:pt idx="9">
                  <c:v>90</c:v>
                </c:pt>
                <c:pt idx="10">
                  <c:v>53</c:v>
                </c:pt>
                <c:pt idx="11">
                  <c:v>#N/A</c:v>
                </c:pt>
                <c:pt idx="12">
                  <c:v>40</c:v>
                </c:pt>
                <c:pt idx="13">
                  <c:v>#N/A</c:v>
                </c:pt>
                <c:pt idx="14">
                  <c:v>97</c:v>
                </c:pt>
                <c:pt idx="15">
                  <c:v>#N/A</c:v>
                </c:pt>
                <c:pt idx="16">
                  <c:v>59</c:v>
                </c:pt>
                <c:pt idx="17">
                  <c:v>#N/A</c:v>
                </c:pt>
                <c:pt idx="18">
                  <c:v>#N/A</c:v>
                </c:pt>
                <c:pt idx="19">
                  <c:v>54</c:v>
                </c:pt>
                <c:pt idx="20">
                  <c:v>#N/A</c:v>
                </c:pt>
                <c:pt idx="21">
                  <c:v>53</c:v>
                </c:pt>
                <c:pt idx="22">
                  <c:v>66</c:v>
                </c:pt>
                <c:pt idx="23">
                  <c:v>#N/A</c:v>
                </c:pt>
                <c:pt idx="24">
                  <c:v>43</c:v>
                </c:pt>
                <c:pt idx="25">
                  <c:v>70</c:v>
                </c:pt>
                <c:pt idx="26">
                  <c:v>100</c:v>
                </c:pt>
                <c:pt idx="27">
                  <c:v>64</c:v>
                </c:pt>
                <c:pt idx="28">
                  <c:v>79</c:v>
                </c:pt>
                <c:pt idx="29">
                  <c:v>48</c:v>
                </c:pt>
                <c:pt idx="30">
                  <c:v>82</c:v>
                </c:pt>
                <c:pt idx="31">
                  <c:v>44</c:v>
                </c:pt>
                <c:pt idx="32">
                  <c:v>50</c:v>
                </c:pt>
                <c:pt idx="33">
                  <c:v>95</c:v>
                </c:pt>
                <c:pt idx="34">
                  <c:v>#N/A</c:v>
                </c:pt>
                <c:pt idx="35">
                  <c:v>#N/A</c:v>
                </c:pt>
                <c:pt idx="36">
                  <c:v>71</c:v>
                </c:pt>
                <c:pt idx="37">
                  <c:v>#N/A</c:v>
                </c:pt>
                <c:pt idx="38">
                  <c:v>75</c:v>
                </c:pt>
                <c:pt idx="39">
                  <c:v>35</c:v>
                </c:pt>
                <c:pt idx="40">
                  <c:v>#N/A</c:v>
                </c:pt>
                <c:pt idx="41">
                  <c:v>87</c:v>
                </c:pt>
                <c:pt idx="42">
                  <c:v>92</c:v>
                </c:pt>
                <c:pt idx="43">
                  <c:v>37</c:v>
                </c:pt>
                <c:pt idx="44">
                  <c:v>45</c:v>
                </c:pt>
                <c:pt idx="45">
                  <c:v>42</c:v>
                </c:pt>
                <c:pt idx="46">
                  <c:v>#N/A</c:v>
                </c:pt>
                <c:pt idx="47">
                  <c:v>47</c:v>
                </c:pt>
                <c:pt idx="48">
                  <c:v>68</c:v>
                </c:pt>
                <c:pt idx="49">
                  <c:v>76</c:v>
                </c:pt>
                <c:pt idx="50">
                  <c:v>86</c:v>
                </c:pt>
                <c:pt idx="51">
                  <c:v>60</c:v>
                </c:pt>
                <c:pt idx="52">
                  <c:v>#N/A</c:v>
                </c:pt>
                <c:pt idx="53">
                  <c:v>56</c:v>
                </c:pt>
                <c:pt idx="54">
                  <c:v>#N/A</c:v>
                </c:pt>
                <c:pt idx="55">
                  <c:v>51</c:v>
                </c:pt>
                <c:pt idx="56">
                  <c:v>40</c:v>
                </c:pt>
                <c:pt idx="57">
                  <c:v>#N/A</c:v>
                </c:pt>
                <c:pt idx="58">
                  <c:v>51</c:v>
                </c:pt>
                <c:pt idx="59">
                  <c:v>46</c:v>
                </c:pt>
                <c:pt idx="60">
                  <c:v>#N/A</c:v>
                </c:pt>
                <c:pt idx="61">
                  <c:v>#N/A</c:v>
                </c:pt>
                <c:pt idx="62">
                  <c:v>96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34</c:v>
                </c:pt>
                <c:pt idx="67">
                  <c:v>#N/A</c:v>
                </c:pt>
                <c:pt idx="68">
                  <c:v>#N/A</c:v>
                </c:pt>
                <c:pt idx="69">
                  <c:v>97</c:v>
                </c:pt>
                <c:pt idx="70">
                  <c:v>51</c:v>
                </c:pt>
                <c:pt idx="71">
                  <c:v>#N/A</c:v>
                </c:pt>
                <c:pt idx="72">
                  <c:v>77</c:v>
                </c:pt>
                <c:pt idx="73">
                  <c:v>#N/A</c:v>
                </c:pt>
                <c:pt idx="74">
                  <c:v>59</c:v>
                </c:pt>
                <c:pt idx="75">
                  <c:v>#N/A</c:v>
                </c:pt>
                <c:pt idx="76">
                  <c:v>81</c:v>
                </c:pt>
                <c:pt idx="77">
                  <c:v>83</c:v>
                </c:pt>
                <c:pt idx="78">
                  <c:v>77</c:v>
                </c:pt>
                <c:pt idx="79">
                  <c:v>#N/A</c:v>
                </c:pt>
                <c:pt idx="80">
                  <c:v>59</c:v>
                </c:pt>
                <c:pt idx="81">
                  <c:v>52</c:v>
                </c:pt>
                <c:pt idx="82">
                  <c:v>93</c:v>
                </c:pt>
                <c:pt idx="83">
                  <c:v>#N/A</c:v>
                </c:pt>
                <c:pt idx="84">
                  <c:v>45</c:v>
                </c:pt>
                <c:pt idx="85">
                  <c:v>78</c:v>
                </c:pt>
                <c:pt idx="86">
                  <c:v>50</c:v>
                </c:pt>
                <c:pt idx="87">
                  <c:v>91</c:v>
                </c:pt>
                <c:pt idx="88">
                  <c:v>80</c:v>
                </c:pt>
                <c:pt idx="89">
                  <c:v>93</c:v>
                </c:pt>
                <c:pt idx="90">
                  <c:v>82</c:v>
                </c:pt>
                <c:pt idx="91">
                  <c:v>98</c:v>
                </c:pt>
                <c:pt idx="92">
                  <c:v>43</c:v>
                </c:pt>
                <c:pt idx="93">
                  <c:v>38</c:v>
                </c:pt>
                <c:pt idx="94">
                  <c:v>#N/A</c:v>
                </c:pt>
                <c:pt idx="95">
                  <c:v>46</c:v>
                </c:pt>
                <c:pt idx="96">
                  <c:v>34</c:v>
                </c:pt>
                <c:pt idx="97">
                  <c:v>52</c:v>
                </c:pt>
                <c:pt idx="98">
                  <c:v>82</c:v>
                </c:pt>
                <c:pt idx="99">
                  <c:v>74</c:v>
                </c:pt>
              </c:numCache>
            </c:numRef>
          </c:xVal>
          <c:yVal>
            <c:numRef>
              <c:f>Wykres!$G$14:$G$113</c:f>
              <c:numCache>
                <c:formatCode>General</c:formatCode>
                <c:ptCount val="100"/>
                <c:pt idx="0">
                  <c:v>68</c:v>
                </c:pt>
                <c:pt idx="1">
                  <c:v>87</c:v>
                </c:pt>
                <c:pt idx="2">
                  <c:v>46</c:v>
                </c:pt>
                <c:pt idx="4">
                  <c:v>77</c:v>
                </c:pt>
                <c:pt idx="5">
                  <c:v>53</c:v>
                </c:pt>
                <c:pt idx="6">
                  <c:v>93</c:v>
                </c:pt>
                <c:pt idx="7">
                  <c:v>96</c:v>
                </c:pt>
                <c:pt idx="9">
                  <c:v>92</c:v>
                </c:pt>
                <c:pt idx="10">
                  <c:v>87</c:v>
                </c:pt>
                <c:pt idx="12">
                  <c:v>68</c:v>
                </c:pt>
                <c:pt idx="14">
                  <c:v>88</c:v>
                </c:pt>
                <c:pt idx="16">
                  <c:v>80</c:v>
                </c:pt>
                <c:pt idx="19">
                  <c:v>73</c:v>
                </c:pt>
                <c:pt idx="21">
                  <c:v>48</c:v>
                </c:pt>
                <c:pt idx="22">
                  <c:v>42</c:v>
                </c:pt>
                <c:pt idx="24">
                  <c:v>67</c:v>
                </c:pt>
                <c:pt idx="25">
                  <c:v>62</c:v>
                </c:pt>
                <c:pt idx="26">
                  <c:v>96</c:v>
                </c:pt>
                <c:pt idx="27">
                  <c:v>56</c:v>
                </c:pt>
                <c:pt idx="28">
                  <c:v>82</c:v>
                </c:pt>
                <c:pt idx="29">
                  <c:v>91</c:v>
                </c:pt>
                <c:pt idx="30">
                  <c:v>79</c:v>
                </c:pt>
                <c:pt idx="31">
                  <c:v>52</c:v>
                </c:pt>
                <c:pt idx="32">
                  <c:v>45</c:v>
                </c:pt>
                <c:pt idx="33">
                  <c:v>53</c:v>
                </c:pt>
                <c:pt idx="36">
                  <c:v>81</c:v>
                </c:pt>
                <c:pt idx="38">
                  <c:v>54</c:v>
                </c:pt>
                <c:pt idx="39">
                  <c:v>98</c:v>
                </c:pt>
                <c:pt idx="41">
                  <c:v>99</c:v>
                </c:pt>
                <c:pt idx="42">
                  <c:v>76</c:v>
                </c:pt>
                <c:pt idx="43">
                  <c:v>71</c:v>
                </c:pt>
                <c:pt idx="44">
                  <c:v>74</c:v>
                </c:pt>
                <c:pt idx="45">
                  <c:v>59</c:v>
                </c:pt>
                <c:pt idx="47">
                  <c:v>52</c:v>
                </c:pt>
                <c:pt idx="48">
                  <c:v>66</c:v>
                </c:pt>
                <c:pt idx="49">
                  <c:v>49</c:v>
                </c:pt>
                <c:pt idx="50">
                  <c:v>51</c:v>
                </c:pt>
                <c:pt idx="51">
                  <c:v>93</c:v>
                </c:pt>
                <c:pt idx="53">
                  <c:v>37</c:v>
                </c:pt>
                <c:pt idx="55">
                  <c:v>71</c:v>
                </c:pt>
                <c:pt idx="56">
                  <c:v>99</c:v>
                </c:pt>
                <c:pt idx="58">
                  <c:v>38</c:v>
                </c:pt>
                <c:pt idx="59">
                  <c:v>100</c:v>
                </c:pt>
                <c:pt idx="62">
                  <c:v>46</c:v>
                </c:pt>
                <c:pt idx="66">
                  <c:v>87</c:v>
                </c:pt>
                <c:pt idx="69">
                  <c:v>82</c:v>
                </c:pt>
                <c:pt idx="70">
                  <c:v>98</c:v>
                </c:pt>
                <c:pt idx="72">
                  <c:v>93</c:v>
                </c:pt>
                <c:pt idx="74">
                  <c:v>60</c:v>
                </c:pt>
                <c:pt idx="76">
                  <c:v>42</c:v>
                </c:pt>
                <c:pt idx="77">
                  <c:v>67</c:v>
                </c:pt>
                <c:pt idx="78">
                  <c:v>75</c:v>
                </c:pt>
                <c:pt idx="80">
                  <c:v>82</c:v>
                </c:pt>
                <c:pt idx="81">
                  <c:v>66</c:v>
                </c:pt>
                <c:pt idx="82">
                  <c:v>90</c:v>
                </c:pt>
                <c:pt idx="84">
                  <c:v>85</c:v>
                </c:pt>
                <c:pt idx="85">
                  <c:v>85</c:v>
                </c:pt>
                <c:pt idx="86">
                  <c:v>62</c:v>
                </c:pt>
                <c:pt idx="87">
                  <c:v>71</c:v>
                </c:pt>
                <c:pt idx="88">
                  <c:v>36</c:v>
                </c:pt>
                <c:pt idx="89">
                  <c:v>61</c:v>
                </c:pt>
                <c:pt idx="90">
                  <c:v>37</c:v>
                </c:pt>
                <c:pt idx="91">
                  <c:v>33</c:v>
                </c:pt>
                <c:pt idx="92">
                  <c:v>57</c:v>
                </c:pt>
                <c:pt idx="93">
                  <c:v>67</c:v>
                </c:pt>
                <c:pt idx="95">
                  <c:v>98</c:v>
                </c:pt>
                <c:pt idx="96">
                  <c:v>86</c:v>
                </c:pt>
                <c:pt idx="97">
                  <c:v>92</c:v>
                </c:pt>
                <c:pt idx="98">
                  <c:v>100</c:v>
                </c:pt>
                <c:pt idx="99">
                  <c:v>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EE-4524-A60E-57480FA23D45}"/>
            </c:ext>
          </c:extLst>
        </c:ser>
        <c:ser>
          <c:idx val="2"/>
          <c:order val="2"/>
          <c:tx>
            <c:v>granica klasyfikacji</c:v>
          </c:tx>
          <c:spPr>
            <a:ln w="28575">
              <a:noFill/>
            </a:ln>
          </c:spPr>
          <c:xVal>
            <c:numRef>
              <c:f>Wykres!$J$14:$J$113</c:f>
              <c:numCache>
                <c:formatCode>General</c:formatCode>
                <c:ptCount val="100"/>
                <c:pt idx="0">
                  <c:v>57</c:v>
                </c:pt>
                <c:pt idx="1">
                  <c:v>86</c:v>
                </c:pt>
                <c:pt idx="2">
                  <c:v>86</c:v>
                </c:pt>
                <c:pt idx="3">
                  <c:v>71</c:v>
                </c:pt>
                <c:pt idx="4">
                  <c:v>75</c:v>
                </c:pt>
                <c:pt idx="5">
                  <c:v>84</c:v>
                </c:pt>
                <c:pt idx="6">
                  <c:v>89</c:v>
                </c:pt>
                <c:pt idx="7">
                  <c:v>68</c:v>
                </c:pt>
                <c:pt idx="8">
                  <c:v>50</c:v>
                </c:pt>
                <c:pt idx="9">
                  <c:v>90</c:v>
                </c:pt>
                <c:pt idx="10">
                  <c:v>53</c:v>
                </c:pt>
                <c:pt idx="11">
                  <c:v>40</c:v>
                </c:pt>
                <c:pt idx="12">
                  <c:v>40</c:v>
                </c:pt>
                <c:pt idx="13">
                  <c:v>28</c:v>
                </c:pt>
                <c:pt idx="14">
                  <c:v>97</c:v>
                </c:pt>
                <c:pt idx="15">
                  <c:v>35</c:v>
                </c:pt>
                <c:pt idx="16">
                  <c:v>59</c:v>
                </c:pt>
                <c:pt idx="17">
                  <c:v>29</c:v>
                </c:pt>
                <c:pt idx="18">
                  <c:v>44</c:v>
                </c:pt>
                <c:pt idx="19">
                  <c:v>54</c:v>
                </c:pt>
                <c:pt idx="20">
                  <c:v>22</c:v>
                </c:pt>
                <c:pt idx="21">
                  <c:v>53</c:v>
                </c:pt>
                <c:pt idx="22">
                  <c:v>66</c:v>
                </c:pt>
                <c:pt idx="23">
                  <c:v>26</c:v>
                </c:pt>
                <c:pt idx="24">
                  <c:v>43</c:v>
                </c:pt>
                <c:pt idx="25">
                  <c:v>70</c:v>
                </c:pt>
                <c:pt idx="26">
                  <c:v>100</c:v>
                </c:pt>
                <c:pt idx="27">
                  <c:v>64</c:v>
                </c:pt>
                <c:pt idx="28">
                  <c:v>79</c:v>
                </c:pt>
                <c:pt idx="29">
                  <c:v>48</c:v>
                </c:pt>
                <c:pt idx="30">
                  <c:v>82</c:v>
                </c:pt>
                <c:pt idx="31">
                  <c:v>44</c:v>
                </c:pt>
                <c:pt idx="32">
                  <c:v>50</c:v>
                </c:pt>
                <c:pt idx="33">
                  <c:v>95</c:v>
                </c:pt>
                <c:pt idx="34">
                  <c:v>28</c:v>
                </c:pt>
                <c:pt idx="35">
                  <c:v>37</c:v>
                </c:pt>
                <c:pt idx="36">
                  <c:v>71</c:v>
                </c:pt>
                <c:pt idx="37">
                  <c:v>26</c:v>
                </c:pt>
                <c:pt idx="38">
                  <c:v>75</c:v>
                </c:pt>
                <c:pt idx="39">
                  <c:v>35</c:v>
                </c:pt>
                <c:pt idx="40">
                  <c:v>23</c:v>
                </c:pt>
                <c:pt idx="41">
                  <c:v>87</c:v>
                </c:pt>
                <c:pt idx="42">
                  <c:v>92</c:v>
                </c:pt>
                <c:pt idx="43">
                  <c:v>37</c:v>
                </c:pt>
                <c:pt idx="44">
                  <c:v>45</c:v>
                </c:pt>
                <c:pt idx="45">
                  <c:v>42</c:v>
                </c:pt>
                <c:pt idx="46">
                  <c:v>31</c:v>
                </c:pt>
                <c:pt idx="47">
                  <c:v>47</c:v>
                </c:pt>
                <c:pt idx="48">
                  <c:v>68</c:v>
                </c:pt>
                <c:pt idx="49">
                  <c:v>76</c:v>
                </c:pt>
                <c:pt idx="50">
                  <c:v>86</c:v>
                </c:pt>
                <c:pt idx="51">
                  <c:v>60</c:v>
                </c:pt>
                <c:pt idx="52">
                  <c:v>33</c:v>
                </c:pt>
                <c:pt idx="53">
                  <c:v>56</c:v>
                </c:pt>
                <c:pt idx="54">
                  <c:v>78</c:v>
                </c:pt>
                <c:pt idx="55">
                  <c:v>51</c:v>
                </c:pt>
                <c:pt idx="56">
                  <c:v>40</c:v>
                </c:pt>
                <c:pt idx="57">
                  <c:v>36</c:v>
                </c:pt>
                <c:pt idx="58">
                  <c:v>51</c:v>
                </c:pt>
                <c:pt idx="59">
                  <c:v>46</c:v>
                </c:pt>
                <c:pt idx="60">
                  <c:v>36</c:v>
                </c:pt>
                <c:pt idx="61">
                  <c:v>38</c:v>
                </c:pt>
                <c:pt idx="62">
                  <c:v>96</c:v>
                </c:pt>
                <c:pt idx="63">
                  <c:v>97</c:v>
                </c:pt>
                <c:pt idx="64">
                  <c:v>95</c:v>
                </c:pt>
                <c:pt idx="65">
                  <c:v>54</c:v>
                </c:pt>
                <c:pt idx="66">
                  <c:v>34</c:v>
                </c:pt>
                <c:pt idx="67">
                  <c:v>94</c:v>
                </c:pt>
                <c:pt idx="68">
                  <c:v>65</c:v>
                </c:pt>
                <c:pt idx="69">
                  <c:v>97</c:v>
                </c:pt>
                <c:pt idx="70">
                  <c:v>51</c:v>
                </c:pt>
                <c:pt idx="71">
                  <c:v>37</c:v>
                </c:pt>
                <c:pt idx="72">
                  <c:v>77</c:v>
                </c:pt>
                <c:pt idx="73">
                  <c:v>31</c:v>
                </c:pt>
                <c:pt idx="74">
                  <c:v>59</c:v>
                </c:pt>
                <c:pt idx="75">
                  <c:v>35</c:v>
                </c:pt>
                <c:pt idx="76">
                  <c:v>81</c:v>
                </c:pt>
                <c:pt idx="77">
                  <c:v>83</c:v>
                </c:pt>
                <c:pt idx="78">
                  <c:v>77</c:v>
                </c:pt>
                <c:pt idx="79">
                  <c:v>21</c:v>
                </c:pt>
                <c:pt idx="80">
                  <c:v>59</c:v>
                </c:pt>
                <c:pt idx="81">
                  <c:v>52</c:v>
                </c:pt>
                <c:pt idx="82">
                  <c:v>93</c:v>
                </c:pt>
                <c:pt idx="83">
                  <c:v>65</c:v>
                </c:pt>
                <c:pt idx="84">
                  <c:v>45</c:v>
                </c:pt>
                <c:pt idx="85">
                  <c:v>78</c:v>
                </c:pt>
                <c:pt idx="86">
                  <c:v>50</c:v>
                </c:pt>
                <c:pt idx="87">
                  <c:v>91</c:v>
                </c:pt>
                <c:pt idx="88">
                  <c:v>80</c:v>
                </c:pt>
                <c:pt idx="89">
                  <c:v>93</c:v>
                </c:pt>
                <c:pt idx="90">
                  <c:v>82</c:v>
                </c:pt>
                <c:pt idx="91">
                  <c:v>98</c:v>
                </c:pt>
                <c:pt idx="92">
                  <c:v>43</c:v>
                </c:pt>
                <c:pt idx="93">
                  <c:v>38</c:v>
                </c:pt>
                <c:pt idx="94">
                  <c:v>56</c:v>
                </c:pt>
                <c:pt idx="95">
                  <c:v>46</c:v>
                </c:pt>
                <c:pt idx="96">
                  <c:v>34</c:v>
                </c:pt>
                <c:pt idx="97">
                  <c:v>52</c:v>
                </c:pt>
                <c:pt idx="98">
                  <c:v>82</c:v>
                </c:pt>
                <c:pt idx="99">
                  <c:v>74</c:v>
                </c:pt>
              </c:numCache>
            </c:numRef>
          </c:xVal>
          <c:yVal>
            <c:numRef>
              <c:f>Wykres!$K$14:$K$113</c:f>
              <c:numCache>
                <c:formatCode>General</c:formatCode>
                <c:ptCount val="100"/>
                <c:pt idx="0">
                  <c:v>45.849269918429719</c:v>
                </c:pt>
                <c:pt idx="1">
                  <c:v>22.461949216520278</c:v>
                </c:pt>
                <c:pt idx="2">
                  <c:v>22.461949216520278</c:v>
                </c:pt>
                <c:pt idx="3">
                  <c:v>34.558839234749307</c:v>
                </c:pt>
                <c:pt idx="4">
                  <c:v>31.333001896554897</c:v>
                </c:pt>
                <c:pt idx="5">
                  <c:v>24.074867885617479</c:v>
                </c:pt>
                <c:pt idx="6">
                  <c:v>20.042571212874478</c:v>
                </c:pt>
                <c:pt idx="7">
                  <c:v>36.978217238395104</c:v>
                </c:pt>
                <c:pt idx="8">
                  <c:v>51.494485260269933</c:v>
                </c:pt>
                <c:pt idx="9">
                  <c:v>19.236111878325872</c:v>
                </c:pt>
                <c:pt idx="10">
                  <c:v>49.075107256624122</c:v>
                </c:pt>
                <c:pt idx="11">
                  <c:v>59.559078605755943</c:v>
                </c:pt>
                <c:pt idx="12">
                  <c:v>59.559078605755943</c:v>
                </c:pt>
                <c:pt idx="13">
                  <c:v>69.236590620339157</c:v>
                </c:pt>
                <c:pt idx="14">
                  <c:v>13.590896536485673</c:v>
                </c:pt>
                <c:pt idx="15">
                  <c:v>63.591375278498951</c:v>
                </c:pt>
                <c:pt idx="16">
                  <c:v>44.236351249332515</c:v>
                </c:pt>
                <c:pt idx="17">
                  <c:v>68.430131285790566</c:v>
                </c:pt>
                <c:pt idx="18">
                  <c:v>56.333241267561533</c:v>
                </c:pt>
                <c:pt idx="19">
                  <c:v>48.268647922075523</c:v>
                </c:pt>
                <c:pt idx="20">
                  <c:v>74.075346627630779</c:v>
                </c:pt>
                <c:pt idx="21">
                  <c:v>49.075107256624122</c:v>
                </c:pt>
                <c:pt idx="22">
                  <c:v>38.591135907492308</c:v>
                </c:pt>
                <c:pt idx="23">
                  <c:v>70.849509289436369</c:v>
                </c:pt>
                <c:pt idx="24">
                  <c:v>57.139700602110139</c:v>
                </c:pt>
                <c:pt idx="25">
                  <c:v>35.365298569297899</c:v>
                </c:pt>
                <c:pt idx="26">
                  <c:v>11.171518532839864</c:v>
                </c:pt>
                <c:pt idx="27">
                  <c:v>40.204054576589513</c:v>
                </c:pt>
                <c:pt idx="28">
                  <c:v>28.107164558360491</c:v>
                </c:pt>
                <c:pt idx="29">
                  <c:v>53.107403929367138</c:v>
                </c:pt>
                <c:pt idx="30">
                  <c:v>25.687786554714684</c:v>
                </c:pt>
                <c:pt idx="31">
                  <c:v>56.333241267561533</c:v>
                </c:pt>
                <c:pt idx="32">
                  <c:v>51.494485260269933</c:v>
                </c:pt>
                <c:pt idx="33">
                  <c:v>15.203815205582867</c:v>
                </c:pt>
                <c:pt idx="34">
                  <c:v>69.236590620339157</c:v>
                </c:pt>
                <c:pt idx="35">
                  <c:v>61.978456609401746</c:v>
                </c:pt>
                <c:pt idx="36">
                  <c:v>34.558839234749307</c:v>
                </c:pt>
                <c:pt idx="37">
                  <c:v>70.849509289436369</c:v>
                </c:pt>
                <c:pt idx="38">
                  <c:v>31.333001896554897</c:v>
                </c:pt>
                <c:pt idx="39">
                  <c:v>63.591375278498951</c:v>
                </c:pt>
                <c:pt idx="40">
                  <c:v>73.268887293082173</c:v>
                </c:pt>
                <c:pt idx="41">
                  <c:v>21.655489881971679</c:v>
                </c:pt>
                <c:pt idx="42">
                  <c:v>17.623193209228678</c:v>
                </c:pt>
                <c:pt idx="43">
                  <c:v>61.978456609401746</c:v>
                </c:pt>
                <c:pt idx="44">
                  <c:v>55.526781933012934</c:v>
                </c:pt>
                <c:pt idx="45">
                  <c:v>57.946159936658745</c:v>
                </c:pt>
                <c:pt idx="46">
                  <c:v>66.817212616693354</c:v>
                </c:pt>
                <c:pt idx="47">
                  <c:v>53.913863263915736</c:v>
                </c:pt>
                <c:pt idx="48">
                  <c:v>36.978217238395104</c:v>
                </c:pt>
                <c:pt idx="49">
                  <c:v>30.526542562006291</c:v>
                </c:pt>
                <c:pt idx="50">
                  <c:v>22.461949216520278</c:v>
                </c:pt>
                <c:pt idx="51">
                  <c:v>43.429891914783916</c:v>
                </c:pt>
                <c:pt idx="52">
                  <c:v>65.204293947596156</c:v>
                </c:pt>
                <c:pt idx="53">
                  <c:v>46.655729252978325</c:v>
                </c:pt>
                <c:pt idx="54">
                  <c:v>28.91362389290909</c:v>
                </c:pt>
                <c:pt idx="55">
                  <c:v>50.688025925721327</c:v>
                </c:pt>
                <c:pt idx="56">
                  <c:v>59.559078605755943</c:v>
                </c:pt>
                <c:pt idx="57">
                  <c:v>62.784915943950345</c:v>
                </c:pt>
                <c:pt idx="58">
                  <c:v>50.688025925721327</c:v>
                </c:pt>
                <c:pt idx="59">
                  <c:v>54.720322598464335</c:v>
                </c:pt>
                <c:pt idx="60">
                  <c:v>62.784915943950345</c:v>
                </c:pt>
                <c:pt idx="61">
                  <c:v>61.171997274853155</c:v>
                </c:pt>
                <c:pt idx="62">
                  <c:v>14.39735587103427</c:v>
                </c:pt>
                <c:pt idx="63">
                  <c:v>13.590896536485673</c:v>
                </c:pt>
                <c:pt idx="64">
                  <c:v>15.203815205582867</c:v>
                </c:pt>
                <c:pt idx="65">
                  <c:v>48.268647922075523</c:v>
                </c:pt>
                <c:pt idx="66">
                  <c:v>64.397834613047564</c:v>
                </c:pt>
                <c:pt idx="67">
                  <c:v>16.010274540131466</c:v>
                </c:pt>
                <c:pt idx="68">
                  <c:v>39.397595242040914</c:v>
                </c:pt>
                <c:pt idx="69">
                  <c:v>13.590896536485673</c:v>
                </c:pt>
                <c:pt idx="70">
                  <c:v>50.688025925721327</c:v>
                </c:pt>
                <c:pt idx="71">
                  <c:v>61.978456609401746</c:v>
                </c:pt>
                <c:pt idx="72">
                  <c:v>29.720083227457696</c:v>
                </c:pt>
                <c:pt idx="73">
                  <c:v>66.817212616693354</c:v>
                </c:pt>
                <c:pt idx="74">
                  <c:v>44.236351249332515</c:v>
                </c:pt>
                <c:pt idx="75">
                  <c:v>63.591375278498951</c:v>
                </c:pt>
                <c:pt idx="76">
                  <c:v>26.49424588926329</c:v>
                </c:pt>
                <c:pt idx="77">
                  <c:v>24.881327220166085</c:v>
                </c:pt>
                <c:pt idx="78">
                  <c:v>29.720083227457696</c:v>
                </c:pt>
                <c:pt idx="79">
                  <c:v>74.881805962179371</c:v>
                </c:pt>
                <c:pt idx="80">
                  <c:v>44.236351249332515</c:v>
                </c:pt>
                <c:pt idx="81">
                  <c:v>49.881566591172728</c:v>
                </c:pt>
                <c:pt idx="82">
                  <c:v>16.816733874680061</c:v>
                </c:pt>
                <c:pt idx="83">
                  <c:v>39.397595242040914</c:v>
                </c:pt>
                <c:pt idx="84">
                  <c:v>55.526781933012934</c:v>
                </c:pt>
                <c:pt idx="85">
                  <c:v>28.91362389290909</c:v>
                </c:pt>
                <c:pt idx="86">
                  <c:v>51.494485260269933</c:v>
                </c:pt>
                <c:pt idx="87">
                  <c:v>18.429652543777273</c:v>
                </c:pt>
                <c:pt idx="88">
                  <c:v>27.300705223811885</c:v>
                </c:pt>
                <c:pt idx="89">
                  <c:v>16.816733874680061</c:v>
                </c:pt>
                <c:pt idx="90">
                  <c:v>25.687786554714684</c:v>
                </c:pt>
                <c:pt idx="91">
                  <c:v>12.78443720193706</c:v>
                </c:pt>
                <c:pt idx="92">
                  <c:v>57.139700602110139</c:v>
                </c:pt>
                <c:pt idx="93">
                  <c:v>61.171997274853155</c:v>
                </c:pt>
                <c:pt idx="94">
                  <c:v>46.655729252978325</c:v>
                </c:pt>
                <c:pt idx="95">
                  <c:v>54.720322598464335</c:v>
                </c:pt>
                <c:pt idx="96">
                  <c:v>64.397834613047564</c:v>
                </c:pt>
                <c:pt idx="97">
                  <c:v>49.881566591172728</c:v>
                </c:pt>
                <c:pt idx="98">
                  <c:v>25.687786554714684</c:v>
                </c:pt>
                <c:pt idx="99">
                  <c:v>32.139461231103496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DEE-4524-A60E-57480FA23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8112752"/>
        <c:axId val="1938111312"/>
      </c:scatterChart>
      <c:valAx>
        <c:axId val="1938112752"/>
        <c:scaling>
          <c:orientation val="minMax"/>
          <c:max val="100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111312"/>
        <c:crosses val="autoZero"/>
        <c:crossBetween val="midCat"/>
      </c:valAx>
      <c:valAx>
        <c:axId val="1938111312"/>
        <c:scaling>
          <c:orientation val="minMax"/>
          <c:max val="100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11275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608595</xdr:colOff>
      <xdr:row>0</xdr:row>
      <xdr:rowOff>176201</xdr:rowOff>
    </xdr:from>
    <xdr:to>
      <xdr:col>30</xdr:col>
      <xdr:colOff>45720</xdr:colOff>
      <xdr:row>28</xdr:row>
      <xdr:rowOff>148491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C135B7-5D23-9388-700D-9CADD717CB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184101</xdr:colOff>
      <xdr:row>0</xdr:row>
      <xdr:rowOff>179743</xdr:rowOff>
    </xdr:from>
    <xdr:to>
      <xdr:col>40</xdr:col>
      <xdr:colOff>239684</xdr:colOff>
      <xdr:row>28</xdr:row>
      <xdr:rowOff>152032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553F318-BA49-46EC-97A4-3CDB768D8A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606483</xdr:colOff>
      <xdr:row>29</xdr:row>
      <xdr:rowOff>41563</xdr:rowOff>
    </xdr:from>
    <xdr:to>
      <xdr:col>30</xdr:col>
      <xdr:colOff>45720</xdr:colOff>
      <xdr:row>57</xdr:row>
      <xdr:rowOff>41563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59383F4-823E-439B-B823-02F4EBCE79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163286</xdr:colOff>
      <xdr:row>29</xdr:row>
      <xdr:rowOff>65313</xdr:rowOff>
    </xdr:from>
    <xdr:to>
      <xdr:col>40</xdr:col>
      <xdr:colOff>210011</xdr:colOff>
      <xdr:row>57</xdr:row>
      <xdr:rowOff>65313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1AC1146-3DFF-4DBD-88CD-DDB0B48916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41</xdr:col>
      <xdr:colOff>0</xdr:colOff>
      <xdr:row>1</xdr:row>
      <xdr:rowOff>0</xdr:rowOff>
    </xdr:from>
    <xdr:to>
      <xdr:col>51</xdr:col>
      <xdr:colOff>46725</xdr:colOff>
      <xdr:row>28</xdr:row>
      <xdr:rowOff>163286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4888FD0-9111-4BB3-831C-57342ECCA1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41</xdr:col>
      <xdr:colOff>0</xdr:colOff>
      <xdr:row>30</xdr:row>
      <xdr:rowOff>0</xdr:rowOff>
    </xdr:from>
    <xdr:to>
      <xdr:col>51</xdr:col>
      <xdr:colOff>46725</xdr:colOff>
      <xdr:row>58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9B56EF0-16F0-4EFE-A5C0-C340A7578D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6627</xdr:colOff>
      <xdr:row>11</xdr:row>
      <xdr:rowOff>9939</xdr:rowOff>
    </xdr:from>
    <xdr:to>
      <xdr:col>21</xdr:col>
      <xdr:colOff>70285</xdr:colOff>
      <xdr:row>29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7FE0869-2FD1-AF16-16E8-A72D6E6CBD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05"/>
  <sheetViews>
    <sheetView tabSelected="1" zoomScale="85" zoomScaleNormal="85" workbookViewId="0">
      <selection activeCell="M27" sqref="M27"/>
    </sheetView>
  </sheetViews>
  <sheetFormatPr defaultColWidth="9.109375" defaultRowHeight="14.4" x14ac:dyDescent="0.3"/>
  <cols>
    <col min="1" max="2" width="8.6640625" style="27" customWidth="1"/>
    <col min="3" max="7" width="15.6640625" style="27" customWidth="1"/>
    <col min="8" max="9" width="8.6640625" style="27" customWidth="1"/>
    <col min="10" max="10" width="18.6640625" style="27" customWidth="1"/>
    <col min="11" max="13" width="15.6640625" style="27" customWidth="1"/>
    <col min="14" max="15" width="8.6640625" style="27" customWidth="1"/>
    <col min="16" max="16" width="18.6640625" style="27" customWidth="1"/>
    <col min="17" max="19" width="15.6640625" style="27" customWidth="1"/>
    <col min="20" max="22" width="8.6640625" style="27" customWidth="1"/>
    <col min="23" max="23" width="18.6640625" style="27" customWidth="1"/>
    <col min="24" max="16384" width="9.109375" style="27"/>
  </cols>
  <sheetData>
    <row r="1" spans="1:23" ht="30" customHeight="1" x14ac:dyDescent="0.3">
      <c r="A1" s="77" t="s">
        <v>8</v>
      </c>
      <c r="B1" s="80" t="s">
        <v>0</v>
      </c>
      <c r="C1" s="72" t="s">
        <v>1</v>
      </c>
      <c r="D1" s="70" t="s">
        <v>2</v>
      </c>
      <c r="E1" s="79" t="s">
        <v>6</v>
      </c>
      <c r="F1" s="80"/>
      <c r="G1" s="80"/>
      <c r="H1" s="80"/>
      <c r="I1" s="80"/>
      <c r="J1" s="70"/>
      <c r="K1" s="76" t="s">
        <v>7</v>
      </c>
      <c r="L1" s="76"/>
      <c r="M1" s="76"/>
      <c r="N1" s="73"/>
      <c r="O1" s="74"/>
      <c r="P1" s="74"/>
      <c r="Q1" s="72" t="s">
        <v>11</v>
      </c>
      <c r="R1" s="73"/>
      <c r="S1" s="73"/>
      <c r="T1" s="73"/>
      <c r="U1" s="73"/>
      <c r="V1" s="74"/>
      <c r="W1" s="75"/>
    </row>
    <row r="2" spans="1:23" ht="30" customHeight="1" thickBot="1" x14ac:dyDescent="0.35">
      <c r="A2" s="78"/>
      <c r="B2" s="82"/>
      <c r="C2" s="81"/>
      <c r="D2" s="71"/>
      <c r="E2" s="13" t="s">
        <v>3</v>
      </c>
      <c r="F2" s="5" t="s">
        <v>4</v>
      </c>
      <c r="G2" s="14" t="s">
        <v>5</v>
      </c>
      <c r="H2" s="14" t="s">
        <v>9</v>
      </c>
      <c r="I2" s="19" t="s">
        <v>10</v>
      </c>
      <c r="J2" s="63" t="s">
        <v>20</v>
      </c>
      <c r="K2" s="13" t="s">
        <v>3</v>
      </c>
      <c r="L2" s="5" t="s">
        <v>4</v>
      </c>
      <c r="M2" s="14" t="s">
        <v>5</v>
      </c>
      <c r="N2" s="14" t="s">
        <v>9</v>
      </c>
      <c r="O2" s="14" t="s">
        <v>10</v>
      </c>
      <c r="P2" s="6" t="s">
        <v>20</v>
      </c>
      <c r="Q2" s="16" t="s">
        <v>3</v>
      </c>
      <c r="R2" s="14" t="s">
        <v>4</v>
      </c>
      <c r="S2" s="14" t="s">
        <v>5</v>
      </c>
      <c r="T2" s="14" t="s">
        <v>9</v>
      </c>
      <c r="U2" s="14" t="s">
        <v>10</v>
      </c>
      <c r="V2" s="14" t="s">
        <v>12</v>
      </c>
      <c r="W2" s="6" t="s">
        <v>20</v>
      </c>
    </row>
    <row r="3" spans="1:23" x14ac:dyDescent="0.3">
      <c r="A3" s="64">
        <v>0.05</v>
      </c>
      <c r="B3" s="23">
        <v>1</v>
      </c>
      <c r="C3" s="31">
        <v>1.866242</v>
      </c>
      <c r="D3" s="34">
        <v>1.4443809999999999</v>
      </c>
      <c r="E3" s="35">
        <v>1.7474639999999999</v>
      </c>
      <c r="F3" s="32">
        <v>-0.87287099999999995</v>
      </c>
      <c r="G3" s="32">
        <v>0.29863899999999999</v>
      </c>
      <c r="H3" s="32">
        <v>1</v>
      </c>
      <c r="I3" s="33">
        <v>79</v>
      </c>
      <c r="J3" s="49" t="str">
        <f t="shared" ref="J3:J66" si="0">IF(ABS(G3) &lt; 0.01,"TAK","NIE")</f>
        <v>NIE</v>
      </c>
      <c r="K3" s="35" t="s">
        <v>22</v>
      </c>
      <c r="L3" s="35" t="s">
        <v>22</v>
      </c>
      <c r="M3" s="35" t="s">
        <v>22</v>
      </c>
      <c r="N3" s="32">
        <v>1</v>
      </c>
      <c r="O3" s="33">
        <v>46</v>
      </c>
      <c r="P3" s="49" t="e">
        <f t="shared" ref="P3:P66" si="1">IF(ABS(M3) &lt; 0.01,"TAK","NIE")</f>
        <v>#VALUE!</v>
      </c>
      <c r="Q3" s="37">
        <v>1.7476830000000001</v>
      </c>
      <c r="R3" s="38">
        <v>-0.87193699999999996</v>
      </c>
      <c r="S3" s="38">
        <v>0.29864200000000002</v>
      </c>
      <c r="T3" s="38">
        <v>1</v>
      </c>
      <c r="U3" s="38">
        <v>139</v>
      </c>
      <c r="V3" s="39">
        <v>139</v>
      </c>
      <c r="W3" s="49" t="str">
        <f t="shared" ref="W3:W66" si="2">IF(ABS(S3) &lt; 0.01,"TAK","NIE")</f>
        <v>NIE</v>
      </c>
    </row>
    <row r="4" spans="1:23" x14ac:dyDescent="0.3">
      <c r="A4" s="65"/>
      <c r="B4" s="24">
        <v>2</v>
      </c>
      <c r="C4" s="40">
        <v>0.179204</v>
      </c>
      <c r="D4" s="41">
        <v>0.99457300000000004</v>
      </c>
      <c r="E4" s="42">
        <v>-4.4000000000000002E-4</v>
      </c>
      <c r="F4" s="43">
        <v>1.062E-3</v>
      </c>
      <c r="G4" s="43">
        <v>9.9999999999999995E-7</v>
      </c>
      <c r="H4" s="43">
        <v>1</v>
      </c>
      <c r="I4" s="44">
        <v>80</v>
      </c>
      <c r="J4" s="49" t="str">
        <f t="shared" si="0"/>
        <v>TAK</v>
      </c>
      <c r="K4" s="42">
        <v>-2.6200000000000003E-4</v>
      </c>
      <c r="L4" s="42">
        <v>9.0700000000000004E-4</v>
      </c>
      <c r="M4" s="42">
        <v>9.9999999999999995E-7</v>
      </c>
      <c r="N4" s="43">
        <v>1</v>
      </c>
      <c r="O4" s="44">
        <v>65</v>
      </c>
      <c r="P4" s="49" t="str">
        <f t="shared" si="1"/>
        <v>TAK</v>
      </c>
      <c r="Q4" s="40">
        <v>3.1300000000000002E-4</v>
      </c>
      <c r="R4" s="43">
        <v>1.817E-3</v>
      </c>
      <c r="S4" s="43">
        <v>3.9999999999999998E-6</v>
      </c>
      <c r="T4" s="43">
        <v>1</v>
      </c>
      <c r="U4" s="43">
        <v>123</v>
      </c>
      <c r="V4" s="44">
        <v>123</v>
      </c>
      <c r="W4" s="49" t="str">
        <f t="shared" si="2"/>
        <v>TAK</v>
      </c>
    </row>
    <row r="5" spans="1:23" x14ac:dyDescent="0.3">
      <c r="A5" s="65"/>
      <c r="B5" s="24">
        <v>3</v>
      </c>
      <c r="C5" s="40">
        <v>1.543782</v>
      </c>
      <c r="D5" s="41">
        <v>0.80981899999999996</v>
      </c>
      <c r="E5" s="42">
        <v>1.7474639999999999</v>
      </c>
      <c r="F5" s="43">
        <v>-0.87287400000000004</v>
      </c>
      <c r="G5" s="43">
        <v>0.29863899999999999</v>
      </c>
      <c r="H5" s="43">
        <v>1</v>
      </c>
      <c r="I5" s="44">
        <v>76</v>
      </c>
      <c r="J5" s="49" t="str">
        <f t="shared" si="0"/>
        <v>NIE</v>
      </c>
      <c r="K5" s="42">
        <v>1.747357</v>
      </c>
      <c r="L5" s="42">
        <v>-0.87262300000000004</v>
      </c>
      <c r="M5" s="42">
        <v>0.29864000000000002</v>
      </c>
      <c r="N5" s="43">
        <v>1</v>
      </c>
      <c r="O5" s="44">
        <v>62</v>
      </c>
      <c r="P5" s="49" t="str">
        <f t="shared" si="1"/>
        <v>NIE</v>
      </c>
      <c r="Q5" s="40">
        <v>1.747433</v>
      </c>
      <c r="R5" s="43">
        <v>-0.87190199999999995</v>
      </c>
      <c r="S5" s="43">
        <v>0.29864200000000002</v>
      </c>
      <c r="T5" s="43">
        <v>1</v>
      </c>
      <c r="U5" s="43">
        <v>132</v>
      </c>
      <c r="V5" s="44">
        <v>132</v>
      </c>
      <c r="W5" s="49" t="str">
        <f t="shared" si="2"/>
        <v>NIE</v>
      </c>
    </row>
    <row r="6" spans="1:23" x14ac:dyDescent="0.3">
      <c r="A6" s="65"/>
      <c r="B6" s="24">
        <v>4</v>
      </c>
      <c r="C6" s="40">
        <v>1.574481</v>
      </c>
      <c r="D6" s="41">
        <v>0.85138199999999997</v>
      </c>
      <c r="E6" s="42">
        <v>1.747463</v>
      </c>
      <c r="F6" s="43">
        <v>-0.87285900000000005</v>
      </c>
      <c r="G6" s="43">
        <v>0.29863899999999999</v>
      </c>
      <c r="H6" s="43">
        <v>1</v>
      </c>
      <c r="I6" s="44">
        <v>76</v>
      </c>
      <c r="J6" s="49" t="str">
        <f t="shared" si="0"/>
        <v>NIE</v>
      </c>
      <c r="K6" s="42">
        <v>1.747414</v>
      </c>
      <c r="L6" s="42">
        <v>-0.87298500000000001</v>
      </c>
      <c r="M6" s="42">
        <v>0.29863899999999999</v>
      </c>
      <c r="N6" s="43">
        <v>1</v>
      </c>
      <c r="O6" s="44">
        <v>65</v>
      </c>
      <c r="P6" s="49" t="str">
        <f t="shared" si="1"/>
        <v>NIE</v>
      </c>
      <c r="Q6" s="40">
        <v>1.747444</v>
      </c>
      <c r="R6" s="43">
        <v>-0.87193600000000004</v>
      </c>
      <c r="S6" s="43">
        <v>0.29864200000000002</v>
      </c>
      <c r="T6" s="43">
        <v>1</v>
      </c>
      <c r="U6" s="43">
        <v>133</v>
      </c>
      <c r="V6" s="44">
        <v>133</v>
      </c>
      <c r="W6" s="49" t="str">
        <f t="shared" si="2"/>
        <v>NIE</v>
      </c>
    </row>
    <row r="7" spans="1:23" x14ac:dyDescent="0.3">
      <c r="A7" s="65"/>
      <c r="B7" s="24">
        <v>5</v>
      </c>
      <c r="C7" s="40">
        <v>0.34038299999999999</v>
      </c>
      <c r="D7" s="41">
        <v>1.11435</v>
      </c>
      <c r="E7" s="42">
        <v>-4.26E-4</v>
      </c>
      <c r="F7" s="43">
        <v>1.029E-3</v>
      </c>
      <c r="G7" s="43">
        <v>9.9999999999999995E-7</v>
      </c>
      <c r="H7" s="43">
        <v>1</v>
      </c>
      <c r="I7" s="44">
        <v>81</v>
      </c>
      <c r="J7" s="49" t="str">
        <f t="shared" si="0"/>
        <v>TAK</v>
      </c>
      <c r="K7" s="42">
        <v>-1.6200000000000001E-4</v>
      </c>
      <c r="L7" s="42">
        <v>9.2900000000000003E-4</v>
      </c>
      <c r="M7" s="42">
        <v>9.9999999999999995E-7</v>
      </c>
      <c r="N7" s="43">
        <v>1</v>
      </c>
      <c r="O7" s="44">
        <v>65</v>
      </c>
      <c r="P7" s="49" t="str">
        <f t="shared" si="1"/>
        <v>TAK</v>
      </c>
      <c r="Q7" s="40">
        <v>4.5300000000000001E-4</v>
      </c>
      <c r="R7" s="43">
        <v>1.7780000000000001E-3</v>
      </c>
      <c r="S7" s="43">
        <v>3.9999999999999998E-6</v>
      </c>
      <c r="T7" s="43">
        <v>1</v>
      </c>
      <c r="U7" s="43">
        <v>126</v>
      </c>
      <c r="V7" s="44">
        <v>126</v>
      </c>
      <c r="W7" s="49" t="str">
        <f t="shared" si="2"/>
        <v>TAK</v>
      </c>
    </row>
    <row r="8" spans="1:23" x14ac:dyDescent="0.3">
      <c r="A8" s="65"/>
      <c r="B8" s="24">
        <v>6</v>
      </c>
      <c r="C8" s="40">
        <v>1.607556</v>
      </c>
      <c r="D8" s="41">
        <v>1.5502229999999999</v>
      </c>
      <c r="E8" s="42">
        <v>1.7474639999999999</v>
      </c>
      <c r="F8" s="43">
        <v>-0.87287000000000003</v>
      </c>
      <c r="G8" s="43">
        <v>0.29863899999999999</v>
      </c>
      <c r="H8" s="43">
        <v>1</v>
      </c>
      <c r="I8" s="44">
        <v>80</v>
      </c>
      <c r="J8" s="49" t="str">
        <f t="shared" si="0"/>
        <v>NIE</v>
      </c>
      <c r="K8" s="42">
        <v>1.7476970000000001</v>
      </c>
      <c r="L8" s="42">
        <v>-0.87488299999999997</v>
      </c>
      <c r="M8" s="42">
        <v>0.29864000000000002</v>
      </c>
      <c r="N8" s="43">
        <v>1</v>
      </c>
      <c r="O8" s="44">
        <v>77</v>
      </c>
      <c r="P8" s="49" t="str">
        <f t="shared" si="1"/>
        <v>NIE</v>
      </c>
      <c r="Q8" s="40">
        <v>1.7474829999999999</v>
      </c>
      <c r="R8" s="43">
        <v>-0.87195100000000003</v>
      </c>
      <c r="S8" s="43">
        <v>0.29864200000000002</v>
      </c>
      <c r="T8" s="43">
        <v>1</v>
      </c>
      <c r="U8" s="43">
        <v>140</v>
      </c>
      <c r="V8" s="44">
        <v>140</v>
      </c>
      <c r="W8" s="49" t="str">
        <f t="shared" si="2"/>
        <v>NIE</v>
      </c>
    </row>
    <row r="9" spans="1:23" x14ac:dyDescent="0.3">
      <c r="A9" s="65"/>
      <c r="B9" s="24">
        <v>7</v>
      </c>
      <c r="C9" s="40">
        <v>0.25064399999999998</v>
      </c>
      <c r="D9" s="41">
        <v>1.5485370000000001</v>
      </c>
      <c r="E9" s="42">
        <v>-4.2299999999999998E-4</v>
      </c>
      <c r="F9" s="43">
        <v>1.021E-3</v>
      </c>
      <c r="G9" s="43">
        <v>9.9999999999999995E-7</v>
      </c>
      <c r="H9" s="43">
        <v>1</v>
      </c>
      <c r="I9" s="44">
        <v>86</v>
      </c>
      <c r="J9" s="49" t="str">
        <f t="shared" si="0"/>
        <v>TAK</v>
      </c>
      <c r="K9" s="42">
        <v>-3.1100000000000002E-4</v>
      </c>
      <c r="L9" s="42">
        <v>9.3800000000000003E-4</v>
      </c>
      <c r="M9" s="42">
        <v>9.9999999999999995E-7</v>
      </c>
      <c r="N9" s="43">
        <v>1</v>
      </c>
      <c r="O9" s="44">
        <v>68</v>
      </c>
      <c r="P9" s="49" t="str">
        <f t="shared" si="1"/>
        <v>TAK</v>
      </c>
      <c r="Q9" s="40">
        <v>2.6400000000000002E-4</v>
      </c>
      <c r="R9" s="43">
        <v>1.7880000000000001E-3</v>
      </c>
      <c r="S9" s="43">
        <v>3.9999999999999998E-6</v>
      </c>
      <c r="T9" s="43">
        <v>1</v>
      </c>
      <c r="U9" s="43">
        <v>132</v>
      </c>
      <c r="V9" s="44">
        <v>132</v>
      </c>
      <c r="W9" s="49" t="str">
        <f t="shared" si="2"/>
        <v>TAK</v>
      </c>
    </row>
    <row r="10" spans="1:23" x14ac:dyDescent="0.3">
      <c r="A10" s="65"/>
      <c r="B10" s="24">
        <v>8</v>
      </c>
      <c r="C10" s="40">
        <v>1.6481920000000001</v>
      </c>
      <c r="D10" s="41">
        <v>0.786636</v>
      </c>
      <c r="E10" s="42">
        <v>1.747468</v>
      </c>
      <c r="F10" s="43">
        <v>-0.87290999999999996</v>
      </c>
      <c r="G10" s="43">
        <v>0.29863899999999999</v>
      </c>
      <c r="H10" s="43">
        <v>1</v>
      </c>
      <c r="I10" s="44">
        <v>76</v>
      </c>
      <c r="J10" s="49" t="str">
        <f t="shared" si="0"/>
        <v>NIE</v>
      </c>
      <c r="K10" s="42">
        <v>1.7473590000000001</v>
      </c>
      <c r="L10" s="42">
        <v>-0.87261599999999995</v>
      </c>
      <c r="M10" s="42">
        <v>0.29864000000000002</v>
      </c>
      <c r="N10" s="43">
        <v>1</v>
      </c>
      <c r="O10" s="44">
        <v>62</v>
      </c>
      <c r="P10" s="49" t="str">
        <f t="shared" si="1"/>
        <v>NIE</v>
      </c>
      <c r="Q10" s="40">
        <v>1.747468</v>
      </c>
      <c r="R10" s="43">
        <v>-0.87188699999999997</v>
      </c>
      <c r="S10" s="43">
        <v>0.29864200000000002</v>
      </c>
      <c r="T10" s="43">
        <v>1</v>
      </c>
      <c r="U10" s="43">
        <v>132</v>
      </c>
      <c r="V10" s="44">
        <v>132</v>
      </c>
      <c r="W10" s="49" t="str">
        <f t="shared" si="2"/>
        <v>NIE</v>
      </c>
    </row>
    <row r="11" spans="1:23" x14ac:dyDescent="0.3">
      <c r="A11" s="65"/>
      <c r="B11" s="24">
        <v>9</v>
      </c>
      <c r="C11" s="40">
        <v>1.7083219999999999</v>
      </c>
      <c r="D11" s="41">
        <v>1.7986489999999999</v>
      </c>
      <c r="E11" s="42">
        <v>1.7474639999999999</v>
      </c>
      <c r="F11" s="43">
        <v>-0.87287300000000001</v>
      </c>
      <c r="G11" s="43">
        <v>0.29863899999999999</v>
      </c>
      <c r="H11" s="43">
        <v>1</v>
      </c>
      <c r="I11" s="44">
        <v>81</v>
      </c>
      <c r="J11" s="49" t="str">
        <f t="shared" si="0"/>
        <v>NIE</v>
      </c>
      <c r="K11" s="42" t="s">
        <v>22</v>
      </c>
      <c r="L11" s="42" t="s">
        <v>22</v>
      </c>
      <c r="M11" s="42" t="s">
        <v>22</v>
      </c>
      <c r="N11" s="43">
        <v>1</v>
      </c>
      <c r="O11" s="44">
        <v>49</v>
      </c>
      <c r="P11" s="49" t="e">
        <f t="shared" si="1"/>
        <v>#VALUE!</v>
      </c>
      <c r="Q11" s="40">
        <v>1.747528</v>
      </c>
      <c r="R11" s="43">
        <v>-0.87194300000000002</v>
      </c>
      <c r="S11" s="43">
        <v>0.29864200000000002</v>
      </c>
      <c r="T11" s="43">
        <v>1</v>
      </c>
      <c r="U11" s="43">
        <v>142</v>
      </c>
      <c r="V11" s="44">
        <v>142</v>
      </c>
      <c r="W11" s="49" t="str">
        <f t="shared" si="2"/>
        <v>NIE</v>
      </c>
    </row>
    <row r="12" spans="1:23" x14ac:dyDescent="0.3">
      <c r="A12" s="65"/>
      <c r="B12" s="24">
        <v>10</v>
      </c>
      <c r="C12" s="40">
        <v>1.863559</v>
      </c>
      <c r="D12" s="41">
        <v>1.624349</v>
      </c>
      <c r="E12" s="42">
        <v>1.747465</v>
      </c>
      <c r="F12" s="43">
        <v>-0.87288100000000002</v>
      </c>
      <c r="G12" s="43">
        <v>0.29863899999999999</v>
      </c>
      <c r="H12" s="43">
        <v>1</v>
      </c>
      <c r="I12" s="44">
        <v>80</v>
      </c>
      <c r="J12" s="49" t="str">
        <f t="shared" si="0"/>
        <v>NIE</v>
      </c>
      <c r="K12" s="42" t="s">
        <v>22</v>
      </c>
      <c r="L12" s="42" t="e" cm="1">
        <f t="array" ref="L12">-inf</f>
        <v>#NAME?</v>
      </c>
      <c r="M12" s="42" t="s">
        <v>22</v>
      </c>
      <c r="N12" s="43">
        <v>1</v>
      </c>
      <c r="O12" s="44">
        <v>46</v>
      </c>
      <c r="P12" s="49" t="e">
        <f t="shared" si="1"/>
        <v>#VALUE!</v>
      </c>
      <c r="Q12" s="40">
        <v>1.747673</v>
      </c>
      <c r="R12" s="43">
        <v>-0.87189099999999997</v>
      </c>
      <c r="S12" s="43">
        <v>0.29864200000000002</v>
      </c>
      <c r="T12" s="43">
        <v>1</v>
      </c>
      <c r="U12" s="43">
        <v>140</v>
      </c>
      <c r="V12" s="44">
        <v>140</v>
      </c>
      <c r="W12" s="49" t="str">
        <f t="shared" si="2"/>
        <v>NIE</v>
      </c>
    </row>
    <row r="13" spans="1:23" x14ac:dyDescent="0.3">
      <c r="A13" s="65"/>
      <c r="B13" s="24">
        <v>11</v>
      </c>
      <c r="C13" s="40">
        <v>0.269868</v>
      </c>
      <c r="D13" s="41">
        <v>0.256245</v>
      </c>
      <c r="E13" s="42">
        <v>-4.1399999999999998E-4</v>
      </c>
      <c r="F13" s="43">
        <v>9.990000000000001E-4</v>
      </c>
      <c r="G13" s="43">
        <v>9.9999999999999995E-7</v>
      </c>
      <c r="H13" s="43">
        <v>1</v>
      </c>
      <c r="I13" s="44">
        <v>58</v>
      </c>
      <c r="J13" s="49" t="str">
        <f t="shared" si="0"/>
        <v>TAK</v>
      </c>
      <c r="K13" s="42">
        <v>-5.3700000000000004E-4</v>
      </c>
      <c r="L13" s="42">
        <v>1.2520000000000001E-3</v>
      </c>
      <c r="M13" s="42">
        <v>9.9999999999999995E-7</v>
      </c>
      <c r="N13" s="43">
        <v>1</v>
      </c>
      <c r="O13" s="44">
        <v>50</v>
      </c>
      <c r="P13" s="49" t="str">
        <f t="shared" si="1"/>
        <v>TAK</v>
      </c>
      <c r="Q13" s="40">
        <v>1.242E-3</v>
      </c>
      <c r="R13" s="43">
        <v>1.364E-3</v>
      </c>
      <c r="S13" s="43">
        <v>6.9999999999999999E-6</v>
      </c>
      <c r="T13" s="43">
        <v>1</v>
      </c>
      <c r="U13" s="43">
        <v>103</v>
      </c>
      <c r="V13" s="44">
        <v>103</v>
      </c>
      <c r="W13" s="49" t="str">
        <f t="shared" si="2"/>
        <v>TAK</v>
      </c>
    </row>
    <row r="14" spans="1:23" x14ac:dyDescent="0.3">
      <c r="A14" s="65"/>
      <c r="B14" s="24">
        <v>12</v>
      </c>
      <c r="C14" s="40">
        <v>0.79316600000000004</v>
      </c>
      <c r="D14" s="41">
        <v>1.522662</v>
      </c>
      <c r="E14" s="42">
        <v>-4.1300000000000001E-4</v>
      </c>
      <c r="F14" s="43">
        <v>9.9700000000000006E-4</v>
      </c>
      <c r="G14" s="43">
        <v>9.9999999999999995E-7</v>
      </c>
      <c r="H14" s="43">
        <v>1</v>
      </c>
      <c r="I14" s="44">
        <v>83</v>
      </c>
      <c r="J14" s="49" t="str">
        <f t="shared" si="0"/>
        <v>TAK</v>
      </c>
      <c r="K14" s="42">
        <v>-1.02E-4</v>
      </c>
      <c r="L14" s="42">
        <v>7.8799999999999996E-4</v>
      </c>
      <c r="M14" s="42">
        <v>9.9999999999999995E-7</v>
      </c>
      <c r="N14" s="43">
        <v>1</v>
      </c>
      <c r="O14" s="44">
        <v>68</v>
      </c>
      <c r="P14" s="49" t="str">
        <f t="shared" si="1"/>
        <v>TAK</v>
      </c>
      <c r="Q14" s="40">
        <v>1.070344</v>
      </c>
      <c r="R14" s="43">
        <v>-0.53346899999999997</v>
      </c>
      <c r="S14" s="43">
        <v>0.87736400000000003</v>
      </c>
      <c r="T14" s="43">
        <v>1</v>
      </c>
      <c r="U14" s="43">
        <v>137</v>
      </c>
      <c r="V14" s="44">
        <v>137</v>
      </c>
      <c r="W14" s="49" t="str">
        <f t="shared" si="2"/>
        <v>NIE</v>
      </c>
    </row>
    <row r="15" spans="1:23" x14ac:dyDescent="0.3">
      <c r="A15" s="65"/>
      <c r="B15" s="24">
        <v>13</v>
      </c>
      <c r="C15" s="40">
        <v>1.2975410000000001</v>
      </c>
      <c r="D15" s="41">
        <v>0.52583899999999995</v>
      </c>
      <c r="E15" s="42">
        <v>1.7474639999999999</v>
      </c>
      <c r="F15" s="43">
        <v>-0.87287400000000004</v>
      </c>
      <c r="G15" s="43">
        <v>0.29863899999999999</v>
      </c>
      <c r="H15" s="43">
        <v>1</v>
      </c>
      <c r="I15" s="44">
        <v>77</v>
      </c>
      <c r="J15" s="49" t="str">
        <f t="shared" si="0"/>
        <v>NIE</v>
      </c>
      <c r="K15" s="42" t="s">
        <v>22</v>
      </c>
      <c r="L15" s="42" t="s">
        <v>22</v>
      </c>
      <c r="M15" s="42" t="s">
        <v>22</v>
      </c>
      <c r="N15" s="43">
        <v>1</v>
      </c>
      <c r="O15" s="44">
        <v>40</v>
      </c>
      <c r="P15" s="49" t="e">
        <f t="shared" si="1"/>
        <v>#VALUE!</v>
      </c>
      <c r="Q15" s="40">
        <v>1.070918</v>
      </c>
      <c r="R15" s="43">
        <v>-0.53342800000000001</v>
      </c>
      <c r="S15" s="43">
        <v>0.87736499999999995</v>
      </c>
      <c r="T15" s="43">
        <v>1</v>
      </c>
      <c r="U15" s="43">
        <v>124</v>
      </c>
      <c r="V15" s="44">
        <v>124</v>
      </c>
      <c r="W15" s="49" t="str">
        <f t="shared" si="2"/>
        <v>NIE</v>
      </c>
    </row>
    <row r="16" spans="1:23" x14ac:dyDescent="0.3">
      <c r="A16" s="65"/>
      <c r="B16" s="24">
        <v>14</v>
      </c>
      <c r="C16" s="40">
        <v>0.10434599999999999</v>
      </c>
      <c r="D16" s="41">
        <v>0.31966699999999998</v>
      </c>
      <c r="E16" s="42">
        <v>-4.1899999999999999E-4</v>
      </c>
      <c r="F16" s="43">
        <v>1.011E-3</v>
      </c>
      <c r="G16" s="43">
        <v>9.9999999999999995E-7</v>
      </c>
      <c r="H16" s="43">
        <v>1</v>
      </c>
      <c r="I16" s="44">
        <v>66</v>
      </c>
      <c r="J16" s="49" t="str">
        <f t="shared" si="0"/>
        <v>TAK</v>
      </c>
      <c r="K16" s="42">
        <v>2.5000000000000001E-5</v>
      </c>
      <c r="L16" s="42">
        <v>9.0600000000000001E-4</v>
      </c>
      <c r="M16" s="42">
        <v>9.9999999999999995E-7</v>
      </c>
      <c r="N16" s="43">
        <v>1</v>
      </c>
      <c r="O16" s="44">
        <v>56</v>
      </c>
      <c r="P16" s="49" t="str">
        <f t="shared" si="1"/>
        <v>TAK</v>
      </c>
      <c r="Q16" s="40">
        <v>5.7899999999999998E-4</v>
      </c>
      <c r="R16" s="43">
        <v>1.802E-3</v>
      </c>
      <c r="S16" s="43">
        <v>5.0000000000000004E-6</v>
      </c>
      <c r="T16" s="43">
        <v>1</v>
      </c>
      <c r="U16" s="43">
        <v>101</v>
      </c>
      <c r="V16" s="44">
        <v>101</v>
      </c>
      <c r="W16" s="49" t="str">
        <f t="shared" si="2"/>
        <v>TAK</v>
      </c>
    </row>
    <row r="17" spans="1:23" x14ac:dyDescent="0.3">
      <c r="A17" s="65"/>
      <c r="B17" s="24">
        <v>15</v>
      </c>
      <c r="C17" s="40">
        <v>0.25134000000000001</v>
      </c>
      <c r="D17" s="41">
        <v>1.5022850000000001</v>
      </c>
      <c r="E17" s="42">
        <v>-4.44E-4</v>
      </c>
      <c r="F17" s="43">
        <v>1.073E-3</v>
      </c>
      <c r="G17" s="43">
        <v>9.9999999999999995E-7</v>
      </c>
      <c r="H17" s="43">
        <v>1</v>
      </c>
      <c r="I17" s="44">
        <v>85</v>
      </c>
      <c r="J17" s="49" t="str">
        <f t="shared" si="0"/>
        <v>TAK</v>
      </c>
      <c r="K17" s="42">
        <v>-3.1300000000000002E-4</v>
      </c>
      <c r="L17" s="42">
        <v>9.2299999999999999E-4</v>
      </c>
      <c r="M17" s="42">
        <v>9.9999999999999995E-7</v>
      </c>
      <c r="N17" s="43">
        <v>1</v>
      </c>
      <c r="O17" s="44">
        <v>68</v>
      </c>
      <c r="P17" s="49" t="str">
        <f t="shared" si="1"/>
        <v>TAK</v>
      </c>
      <c r="Q17" s="40">
        <v>2.7900000000000001E-4</v>
      </c>
      <c r="R17" s="43">
        <v>1.8259999999999999E-3</v>
      </c>
      <c r="S17" s="43">
        <v>3.9999999999999998E-6</v>
      </c>
      <c r="T17" s="43">
        <v>1</v>
      </c>
      <c r="U17" s="43">
        <v>131</v>
      </c>
      <c r="V17" s="44">
        <v>131</v>
      </c>
      <c r="W17" s="49" t="str">
        <f t="shared" si="2"/>
        <v>TAK</v>
      </c>
    </row>
    <row r="18" spans="1:23" x14ac:dyDescent="0.3">
      <c r="A18" s="65"/>
      <c r="B18" s="24">
        <v>16</v>
      </c>
      <c r="C18" s="40">
        <v>0.73748800000000003</v>
      </c>
      <c r="D18" s="41">
        <v>1.6792830000000001</v>
      </c>
      <c r="E18" s="42">
        <v>-4.15E-4</v>
      </c>
      <c r="F18" s="43">
        <v>1.0020000000000001E-3</v>
      </c>
      <c r="G18" s="43">
        <v>9.9999999999999995E-7</v>
      </c>
      <c r="H18" s="43">
        <v>1</v>
      </c>
      <c r="I18" s="44">
        <v>85</v>
      </c>
      <c r="J18" s="49" t="str">
        <f t="shared" si="0"/>
        <v>TAK</v>
      </c>
      <c r="K18" s="42">
        <v>-1.47E-4</v>
      </c>
      <c r="L18" s="42">
        <v>8.9400000000000005E-4</v>
      </c>
      <c r="M18" s="42">
        <v>9.9999999999999995E-7</v>
      </c>
      <c r="N18" s="43">
        <v>1</v>
      </c>
      <c r="O18" s="44">
        <v>68</v>
      </c>
      <c r="P18" s="49" t="str">
        <f t="shared" si="1"/>
        <v>TAK</v>
      </c>
      <c r="Q18" s="40">
        <v>1.0703320000000001</v>
      </c>
      <c r="R18" s="43">
        <v>-0.53344000000000003</v>
      </c>
      <c r="S18" s="43">
        <v>0.87736400000000003</v>
      </c>
      <c r="T18" s="43">
        <v>1</v>
      </c>
      <c r="U18" s="43">
        <v>138</v>
      </c>
      <c r="V18" s="44">
        <v>138</v>
      </c>
      <c r="W18" s="49" t="str">
        <f t="shared" si="2"/>
        <v>NIE</v>
      </c>
    </row>
    <row r="19" spans="1:23" x14ac:dyDescent="0.3">
      <c r="A19" s="65"/>
      <c r="B19" s="24">
        <v>17</v>
      </c>
      <c r="C19" s="40">
        <v>1.6699820000000001</v>
      </c>
      <c r="D19" s="41">
        <v>0.122795</v>
      </c>
      <c r="E19" s="42">
        <v>1.7474620000000001</v>
      </c>
      <c r="F19" s="43">
        <v>-0.87284799999999996</v>
      </c>
      <c r="G19" s="43">
        <v>0.29863899999999999</v>
      </c>
      <c r="H19" s="43">
        <v>1</v>
      </c>
      <c r="I19" s="44">
        <v>70</v>
      </c>
      <c r="J19" s="49" t="str">
        <f t="shared" si="0"/>
        <v>NIE</v>
      </c>
      <c r="K19" s="42">
        <v>1.747474</v>
      </c>
      <c r="L19" s="42">
        <v>-0.87302199999999996</v>
      </c>
      <c r="M19" s="42">
        <v>0.29863899999999999</v>
      </c>
      <c r="N19" s="43">
        <v>1</v>
      </c>
      <c r="O19" s="44">
        <v>62</v>
      </c>
      <c r="P19" s="49" t="str">
        <f t="shared" si="1"/>
        <v>NIE</v>
      </c>
      <c r="Q19" s="40">
        <v>1.7474339999999999</v>
      </c>
      <c r="R19" s="43">
        <v>-0.87188200000000005</v>
      </c>
      <c r="S19" s="43">
        <v>0.29864200000000002</v>
      </c>
      <c r="T19" s="43">
        <v>1</v>
      </c>
      <c r="U19" s="43">
        <v>122</v>
      </c>
      <c r="V19" s="44">
        <v>122</v>
      </c>
      <c r="W19" s="49" t="str">
        <f t="shared" si="2"/>
        <v>NIE</v>
      </c>
    </row>
    <row r="20" spans="1:23" x14ac:dyDescent="0.3">
      <c r="A20" s="65"/>
      <c r="B20" s="24">
        <v>18</v>
      </c>
      <c r="C20" s="40">
        <v>0.71950499999999995</v>
      </c>
      <c r="D20" s="41">
        <v>1.305777</v>
      </c>
      <c r="E20" s="42">
        <v>-4.15E-4</v>
      </c>
      <c r="F20" s="43">
        <v>1.0009999999999999E-3</v>
      </c>
      <c r="G20" s="43">
        <v>9.9999999999999995E-7</v>
      </c>
      <c r="H20" s="43">
        <v>1</v>
      </c>
      <c r="I20" s="44">
        <v>81</v>
      </c>
      <c r="J20" s="49" t="str">
        <f t="shared" si="0"/>
        <v>TAK</v>
      </c>
      <c r="K20" s="42">
        <v>-9.2E-5</v>
      </c>
      <c r="L20" s="42">
        <v>6.9099999999999999E-4</v>
      </c>
      <c r="M20" s="42">
        <v>0</v>
      </c>
      <c r="N20" s="43">
        <v>1</v>
      </c>
      <c r="O20" s="44">
        <v>68</v>
      </c>
      <c r="P20" s="49" t="str">
        <f t="shared" si="1"/>
        <v>TAK</v>
      </c>
      <c r="Q20" s="40">
        <v>1.0702780000000001</v>
      </c>
      <c r="R20" s="43">
        <v>-0.53341499999999997</v>
      </c>
      <c r="S20" s="43">
        <v>0.87736400000000003</v>
      </c>
      <c r="T20" s="43">
        <v>1</v>
      </c>
      <c r="U20" s="43">
        <v>134</v>
      </c>
      <c r="V20" s="44">
        <v>134</v>
      </c>
      <c r="W20" s="49" t="str">
        <f t="shared" si="2"/>
        <v>NIE</v>
      </c>
    </row>
    <row r="21" spans="1:23" x14ac:dyDescent="0.3">
      <c r="A21" s="65"/>
      <c r="B21" s="24">
        <v>19</v>
      </c>
      <c r="C21" s="40">
        <v>1.9962679999999999</v>
      </c>
      <c r="D21" s="41">
        <v>1.4928060000000001</v>
      </c>
      <c r="E21" s="42">
        <v>1.7474609999999999</v>
      </c>
      <c r="F21" s="43">
        <v>-0.87284200000000001</v>
      </c>
      <c r="G21" s="43">
        <v>0.29863899999999999</v>
      </c>
      <c r="H21" s="43">
        <v>1</v>
      </c>
      <c r="I21" s="44">
        <v>79</v>
      </c>
      <c r="J21" s="49" t="str">
        <f t="shared" si="0"/>
        <v>NIE</v>
      </c>
      <c r="K21" s="42" t="s">
        <v>22</v>
      </c>
      <c r="L21" s="42" t="s">
        <v>22</v>
      </c>
      <c r="M21" s="42" t="s">
        <v>22</v>
      </c>
      <c r="N21" s="43">
        <v>1</v>
      </c>
      <c r="O21" s="44">
        <v>46</v>
      </c>
      <c r="P21" s="49" t="e">
        <f t="shared" si="1"/>
        <v>#VALUE!</v>
      </c>
      <c r="Q21" s="40">
        <v>1.747925</v>
      </c>
      <c r="R21" s="43">
        <v>-0.87196700000000005</v>
      </c>
      <c r="S21" s="43">
        <v>0.29864299999999999</v>
      </c>
      <c r="T21" s="43">
        <v>1</v>
      </c>
      <c r="U21" s="43">
        <v>139</v>
      </c>
      <c r="V21" s="44">
        <v>139</v>
      </c>
      <c r="W21" s="49" t="str">
        <f t="shared" si="2"/>
        <v>NIE</v>
      </c>
    </row>
    <row r="22" spans="1:23" x14ac:dyDescent="0.3">
      <c r="A22" s="65"/>
      <c r="B22" s="24">
        <v>20</v>
      </c>
      <c r="C22" s="40">
        <v>0.97267199999999998</v>
      </c>
      <c r="D22" s="41">
        <v>1.9466429999999999</v>
      </c>
      <c r="E22" s="42">
        <v>-4.3300000000000001E-4</v>
      </c>
      <c r="F22" s="43">
        <v>1.0449999999999999E-3</v>
      </c>
      <c r="G22" s="43">
        <v>9.9999999999999995E-7</v>
      </c>
      <c r="H22" s="43">
        <v>1</v>
      </c>
      <c r="I22" s="44">
        <v>85</v>
      </c>
      <c r="J22" s="49" t="str">
        <f t="shared" si="0"/>
        <v>TAK</v>
      </c>
      <c r="K22" s="42">
        <v>-8.1000000000000004E-5</v>
      </c>
      <c r="L22" s="42">
        <v>9.3099999999999997E-4</v>
      </c>
      <c r="M22" s="42">
        <v>9.9999999999999995E-7</v>
      </c>
      <c r="N22" s="43">
        <v>1</v>
      </c>
      <c r="O22" s="44">
        <v>68</v>
      </c>
      <c r="P22" s="49" t="str">
        <f t="shared" si="1"/>
        <v>TAK</v>
      </c>
      <c r="Q22" s="40">
        <v>1.070471</v>
      </c>
      <c r="R22" s="43">
        <v>-0.53338399999999997</v>
      </c>
      <c r="S22" s="43">
        <v>0.87736499999999995</v>
      </c>
      <c r="T22" s="43">
        <v>1</v>
      </c>
      <c r="U22" s="43">
        <v>140</v>
      </c>
      <c r="V22" s="44">
        <v>140</v>
      </c>
      <c r="W22" s="49" t="str">
        <f t="shared" si="2"/>
        <v>NIE</v>
      </c>
    </row>
    <row r="23" spans="1:23" x14ac:dyDescent="0.3">
      <c r="A23" s="65"/>
      <c r="B23" s="24">
        <v>21</v>
      </c>
      <c r="C23" s="40">
        <v>0.45670699999999997</v>
      </c>
      <c r="D23" s="41">
        <v>1.671011</v>
      </c>
      <c r="E23" s="42">
        <v>-4.2999999999999999E-4</v>
      </c>
      <c r="F23" s="43">
        <v>1.0380000000000001E-3</v>
      </c>
      <c r="G23" s="43">
        <v>9.9999999999999995E-7</v>
      </c>
      <c r="H23" s="43">
        <v>1</v>
      </c>
      <c r="I23" s="44">
        <v>86</v>
      </c>
      <c r="J23" s="49" t="str">
        <f t="shared" si="0"/>
        <v>TAK</v>
      </c>
      <c r="K23" s="42">
        <v>-2.1599999999999999E-4</v>
      </c>
      <c r="L23" s="42">
        <v>9.2500000000000004E-4</v>
      </c>
      <c r="M23" s="42">
        <v>9.9999999999999995E-7</v>
      </c>
      <c r="N23" s="43">
        <v>1</v>
      </c>
      <c r="O23" s="44">
        <v>68</v>
      </c>
      <c r="P23" s="49" t="str">
        <f t="shared" si="1"/>
        <v>TAK</v>
      </c>
      <c r="Q23" s="40">
        <v>3.48E-4</v>
      </c>
      <c r="R23" s="43">
        <v>1.792E-3</v>
      </c>
      <c r="S23" s="43">
        <v>3.9999999999999998E-6</v>
      </c>
      <c r="T23" s="43">
        <v>1</v>
      </c>
      <c r="U23" s="43">
        <v>134</v>
      </c>
      <c r="V23" s="44">
        <v>134</v>
      </c>
      <c r="W23" s="49" t="str">
        <f t="shared" si="2"/>
        <v>TAK</v>
      </c>
    </row>
    <row r="24" spans="1:23" x14ac:dyDescent="0.3">
      <c r="A24" s="65"/>
      <c r="B24" s="24">
        <v>22</v>
      </c>
      <c r="C24" s="40">
        <v>0.46127899999999999</v>
      </c>
      <c r="D24" s="41">
        <v>1.952226</v>
      </c>
      <c r="E24" s="42">
        <v>-4.3600000000000003E-4</v>
      </c>
      <c r="F24" s="43">
        <v>1.052E-3</v>
      </c>
      <c r="G24" s="43">
        <v>9.9999999999999995E-7</v>
      </c>
      <c r="H24" s="43">
        <v>1</v>
      </c>
      <c r="I24" s="44">
        <v>88</v>
      </c>
      <c r="J24" s="49" t="str">
        <f t="shared" si="0"/>
        <v>TAK</v>
      </c>
      <c r="K24" s="42">
        <v>-1.5899999999999999E-4</v>
      </c>
      <c r="L24" s="42">
        <v>9.5799999999999998E-4</v>
      </c>
      <c r="M24" s="42">
        <v>9.9999999999999995E-7</v>
      </c>
      <c r="N24" s="43">
        <v>1</v>
      </c>
      <c r="O24" s="44">
        <v>68</v>
      </c>
      <c r="P24" s="49" t="str">
        <f t="shared" si="1"/>
        <v>TAK</v>
      </c>
      <c r="Q24" s="40">
        <v>2.99E-4</v>
      </c>
      <c r="R24" s="43">
        <v>1.7880000000000001E-3</v>
      </c>
      <c r="S24" s="43">
        <v>3.9999999999999998E-6</v>
      </c>
      <c r="T24" s="43">
        <v>1</v>
      </c>
      <c r="U24" s="43">
        <v>137</v>
      </c>
      <c r="V24" s="44">
        <v>137</v>
      </c>
      <c r="W24" s="49" t="str">
        <f t="shared" si="2"/>
        <v>TAK</v>
      </c>
    </row>
    <row r="25" spans="1:23" x14ac:dyDescent="0.3">
      <c r="A25" s="65"/>
      <c r="B25" s="24">
        <v>23</v>
      </c>
      <c r="C25" s="40">
        <v>1.377621</v>
      </c>
      <c r="D25" s="41">
        <v>0.82872199999999996</v>
      </c>
      <c r="E25" s="42">
        <v>1.747468</v>
      </c>
      <c r="F25" s="43">
        <v>-0.87290900000000005</v>
      </c>
      <c r="G25" s="43">
        <v>0.29863899999999999</v>
      </c>
      <c r="H25" s="43">
        <v>1</v>
      </c>
      <c r="I25" s="44">
        <v>78</v>
      </c>
      <c r="J25" s="49" t="str">
        <f t="shared" si="0"/>
        <v>NIE</v>
      </c>
      <c r="K25" s="42">
        <v>1.747663</v>
      </c>
      <c r="L25" s="42">
        <v>-0.87471600000000005</v>
      </c>
      <c r="M25" s="42">
        <v>0.29863899999999999</v>
      </c>
      <c r="N25" s="43">
        <v>1</v>
      </c>
      <c r="O25" s="44">
        <v>74</v>
      </c>
      <c r="P25" s="49" t="str">
        <f t="shared" si="1"/>
        <v>NIE</v>
      </c>
      <c r="Q25" s="40">
        <v>1.070902</v>
      </c>
      <c r="R25" s="43">
        <v>-0.53342100000000003</v>
      </c>
      <c r="S25" s="43">
        <v>0.87736499999999995</v>
      </c>
      <c r="T25" s="43">
        <v>1</v>
      </c>
      <c r="U25" s="43">
        <v>129</v>
      </c>
      <c r="V25" s="44">
        <v>129</v>
      </c>
      <c r="W25" s="49" t="str">
        <f t="shared" si="2"/>
        <v>NIE</v>
      </c>
    </row>
    <row r="26" spans="1:23" x14ac:dyDescent="0.3">
      <c r="A26" s="65"/>
      <c r="B26" s="24">
        <v>24</v>
      </c>
      <c r="C26" s="40">
        <v>1.197908</v>
      </c>
      <c r="D26" s="41">
        <v>1.329548</v>
      </c>
      <c r="E26" s="42">
        <v>-4.4200000000000001E-4</v>
      </c>
      <c r="F26" s="43">
        <v>1.072E-3</v>
      </c>
      <c r="G26" s="43">
        <v>9.9999999999999995E-7</v>
      </c>
      <c r="H26" s="43">
        <v>1</v>
      </c>
      <c r="I26" s="44">
        <v>59</v>
      </c>
      <c r="J26" s="49" t="str">
        <f t="shared" si="0"/>
        <v>TAK</v>
      </c>
      <c r="K26" s="42">
        <v>6.1499999999999999E-4</v>
      </c>
      <c r="L26" s="42">
        <v>-1.1360000000000001E-3</v>
      </c>
      <c r="M26" s="42">
        <v>9.9999999999999995E-7</v>
      </c>
      <c r="N26" s="43">
        <v>1</v>
      </c>
      <c r="O26" s="44">
        <v>80</v>
      </c>
      <c r="P26" s="49" t="str">
        <f t="shared" si="1"/>
        <v>TAK</v>
      </c>
      <c r="Q26" s="40">
        <v>1.070668</v>
      </c>
      <c r="R26" s="43">
        <v>-0.53343799999999997</v>
      </c>
      <c r="S26" s="43">
        <v>0.87736499999999995</v>
      </c>
      <c r="T26" s="43">
        <v>1</v>
      </c>
      <c r="U26" s="43">
        <v>135</v>
      </c>
      <c r="V26" s="44">
        <v>135</v>
      </c>
      <c r="W26" s="49" t="str">
        <f t="shared" si="2"/>
        <v>NIE</v>
      </c>
    </row>
    <row r="27" spans="1:23" x14ac:dyDescent="0.3">
      <c r="A27" s="65"/>
      <c r="B27" s="24">
        <v>25</v>
      </c>
      <c r="C27" s="40">
        <v>6.9703000000000001E-2</v>
      </c>
      <c r="D27" s="41">
        <v>0.62117800000000001</v>
      </c>
      <c r="E27" s="42">
        <v>-4.28E-4</v>
      </c>
      <c r="F27" s="43">
        <v>1.0319999999999999E-3</v>
      </c>
      <c r="G27" s="43">
        <v>9.9999999999999995E-7</v>
      </c>
      <c r="H27" s="43">
        <v>1</v>
      </c>
      <c r="I27" s="44">
        <v>75</v>
      </c>
      <c r="J27" s="49" t="str">
        <f t="shared" si="0"/>
        <v>TAK</v>
      </c>
      <c r="K27" s="42">
        <v>-2.22E-4</v>
      </c>
      <c r="L27" s="42">
        <v>8.3199999999999995E-4</v>
      </c>
      <c r="M27" s="42">
        <v>9.9999999999999995E-7</v>
      </c>
      <c r="N27" s="43">
        <v>1</v>
      </c>
      <c r="O27" s="44">
        <v>62</v>
      </c>
      <c r="P27" s="49" t="str">
        <f t="shared" si="1"/>
        <v>TAK</v>
      </c>
      <c r="Q27" s="40">
        <v>2.0000000000000001E-4</v>
      </c>
      <c r="R27" s="43">
        <v>1.794E-3</v>
      </c>
      <c r="S27" s="43">
        <v>3.9999999999999998E-6</v>
      </c>
      <c r="T27" s="43">
        <v>1</v>
      </c>
      <c r="U27" s="43">
        <v>114</v>
      </c>
      <c r="V27" s="44">
        <v>114</v>
      </c>
      <c r="W27" s="49" t="str">
        <f t="shared" si="2"/>
        <v>TAK</v>
      </c>
    </row>
    <row r="28" spans="1:23" x14ac:dyDescent="0.3">
      <c r="A28" s="65"/>
      <c r="B28" s="24">
        <v>26</v>
      </c>
      <c r="C28" s="40">
        <v>1.814549</v>
      </c>
      <c r="D28" s="41">
        <v>0.681751</v>
      </c>
      <c r="E28" s="42">
        <v>1.7474670000000001</v>
      </c>
      <c r="F28" s="43">
        <v>-0.87289899999999998</v>
      </c>
      <c r="G28" s="43">
        <v>0.29863899999999999</v>
      </c>
      <c r="H28" s="43">
        <v>1</v>
      </c>
      <c r="I28" s="44">
        <v>75</v>
      </c>
      <c r="J28" s="49" t="str">
        <f t="shared" si="0"/>
        <v>NIE</v>
      </c>
      <c r="K28" s="42">
        <v>1.7473780000000001</v>
      </c>
      <c r="L28" s="42">
        <v>-0.872645</v>
      </c>
      <c r="M28" s="42">
        <v>0.29864000000000002</v>
      </c>
      <c r="N28" s="43">
        <v>1</v>
      </c>
      <c r="O28" s="44">
        <v>62</v>
      </c>
      <c r="P28" s="49" t="str">
        <f t="shared" si="1"/>
        <v>NIE</v>
      </c>
      <c r="Q28" s="40">
        <v>1.747649</v>
      </c>
      <c r="R28" s="43">
        <v>-0.87190599999999996</v>
      </c>
      <c r="S28" s="43">
        <v>0.29864200000000002</v>
      </c>
      <c r="T28" s="43">
        <v>1</v>
      </c>
      <c r="U28" s="43">
        <v>131</v>
      </c>
      <c r="V28" s="44">
        <v>131</v>
      </c>
      <c r="W28" s="49" t="str">
        <f t="shared" si="2"/>
        <v>NIE</v>
      </c>
    </row>
    <row r="29" spans="1:23" x14ac:dyDescent="0.3">
      <c r="A29" s="65"/>
      <c r="B29" s="24">
        <v>27</v>
      </c>
      <c r="C29" s="40">
        <v>1.6241479999999999</v>
      </c>
      <c r="D29" s="41">
        <v>0.29116500000000001</v>
      </c>
      <c r="E29" s="42">
        <v>1.747465</v>
      </c>
      <c r="F29" s="43">
        <v>-0.87287700000000001</v>
      </c>
      <c r="G29" s="43">
        <v>0.29863899999999999</v>
      </c>
      <c r="H29" s="43">
        <v>1</v>
      </c>
      <c r="I29" s="44">
        <v>72</v>
      </c>
      <c r="J29" s="49" t="str">
        <f t="shared" si="0"/>
        <v>NIE</v>
      </c>
      <c r="K29" s="42">
        <v>1.7474609999999999</v>
      </c>
      <c r="L29" s="42">
        <v>-0.87289499999999998</v>
      </c>
      <c r="M29" s="42">
        <v>0.29863899999999999</v>
      </c>
      <c r="N29" s="43">
        <v>1</v>
      </c>
      <c r="O29" s="44">
        <v>62</v>
      </c>
      <c r="P29" s="49" t="str">
        <f t="shared" si="1"/>
        <v>NIE</v>
      </c>
      <c r="Q29" s="40">
        <v>1.7474130000000001</v>
      </c>
      <c r="R29" s="43">
        <v>-0.87189499999999998</v>
      </c>
      <c r="S29" s="43">
        <v>0.29864200000000002</v>
      </c>
      <c r="T29" s="43">
        <v>1</v>
      </c>
      <c r="U29" s="43">
        <v>125</v>
      </c>
      <c r="V29" s="44">
        <v>125</v>
      </c>
      <c r="W29" s="49" t="str">
        <f t="shared" si="2"/>
        <v>NIE</v>
      </c>
    </row>
    <row r="30" spans="1:23" x14ac:dyDescent="0.3">
      <c r="A30" s="65"/>
      <c r="B30" s="24">
        <v>28</v>
      </c>
      <c r="C30" s="40">
        <v>0.53978099999999996</v>
      </c>
      <c r="D30" s="41">
        <v>0.532555</v>
      </c>
      <c r="E30" s="42">
        <v>-4.2200000000000001E-4</v>
      </c>
      <c r="F30" s="43">
        <v>1.0200000000000001E-3</v>
      </c>
      <c r="G30" s="43">
        <v>9.9999999999999995E-7</v>
      </c>
      <c r="H30" s="43">
        <v>1</v>
      </c>
      <c r="I30" s="44">
        <v>66</v>
      </c>
      <c r="J30" s="49" t="str">
        <f t="shared" si="0"/>
        <v>TAK</v>
      </c>
      <c r="K30" s="42">
        <v>-3.1199999999999999E-4</v>
      </c>
      <c r="L30" s="42">
        <v>1.4679999999999999E-3</v>
      </c>
      <c r="M30" s="42">
        <v>1.9999999999999999E-6</v>
      </c>
      <c r="N30" s="43">
        <v>1</v>
      </c>
      <c r="O30" s="44">
        <v>56</v>
      </c>
      <c r="P30" s="49" t="str">
        <f t="shared" si="1"/>
        <v>TAK</v>
      </c>
      <c r="Q30" s="40">
        <v>7.0699999999999995E-4</v>
      </c>
      <c r="R30" s="43">
        <v>1.738E-3</v>
      </c>
      <c r="S30" s="43">
        <v>5.0000000000000004E-6</v>
      </c>
      <c r="T30" s="43">
        <v>1</v>
      </c>
      <c r="U30" s="43">
        <v>116</v>
      </c>
      <c r="V30" s="44">
        <v>116</v>
      </c>
      <c r="W30" s="49" t="str">
        <f t="shared" si="2"/>
        <v>TAK</v>
      </c>
    </row>
    <row r="31" spans="1:23" x14ac:dyDescent="0.3">
      <c r="A31" s="65"/>
      <c r="B31" s="24">
        <v>29</v>
      </c>
      <c r="C31" s="40">
        <v>1.701525</v>
      </c>
      <c r="D31" s="41">
        <v>1.4643349999999999</v>
      </c>
      <c r="E31" s="42">
        <v>1.7474620000000001</v>
      </c>
      <c r="F31" s="43">
        <v>-0.87284799999999996</v>
      </c>
      <c r="G31" s="43">
        <v>0.29863899999999999</v>
      </c>
      <c r="H31" s="43">
        <v>1</v>
      </c>
      <c r="I31" s="44">
        <v>79</v>
      </c>
      <c r="J31" s="49" t="str">
        <f t="shared" si="0"/>
        <v>NIE</v>
      </c>
      <c r="K31" s="42">
        <v>1.747584</v>
      </c>
      <c r="L31" s="42">
        <v>-0.87482000000000004</v>
      </c>
      <c r="M31" s="42">
        <v>0.29864000000000002</v>
      </c>
      <c r="N31" s="43">
        <v>1</v>
      </c>
      <c r="O31" s="44">
        <v>68</v>
      </c>
      <c r="P31" s="49" t="str">
        <f t="shared" si="1"/>
        <v>NIE</v>
      </c>
      <c r="Q31" s="40">
        <v>1.74752</v>
      </c>
      <c r="R31" s="43">
        <v>-0.87190599999999996</v>
      </c>
      <c r="S31" s="43">
        <v>0.29864200000000002</v>
      </c>
      <c r="T31" s="43">
        <v>1</v>
      </c>
      <c r="U31" s="43">
        <v>139</v>
      </c>
      <c r="V31" s="44">
        <v>139</v>
      </c>
      <c r="W31" s="49" t="str">
        <f t="shared" si="2"/>
        <v>NIE</v>
      </c>
    </row>
    <row r="32" spans="1:23" x14ac:dyDescent="0.3">
      <c r="A32" s="65"/>
      <c r="B32" s="24">
        <v>30</v>
      </c>
      <c r="C32" s="40">
        <v>0.466248</v>
      </c>
      <c r="D32" s="41">
        <v>0.47531499999999999</v>
      </c>
      <c r="E32" s="42">
        <v>-4.3399999999999998E-4</v>
      </c>
      <c r="F32" s="43">
        <v>1.047E-3</v>
      </c>
      <c r="G32" s="43">
        <v>9.9999999999999995E-7</v>
      </c>
      <c r="H32" s="43">
        <v>1</v>
      </c>
      <c r="I32" s="44">
        <v>65</v>
      </c>
      <c r="J32" s="49" t="str">
        <f t="shared" si="0"/>
        <v>TAK</v>
      </c>
      <c r="K32" s="42">
        <v>-2.5099999999999998E-4</v>
      </c>
      <c r="L32" s="42">
        <v>1.4159999999999999E-3</v>
      </c>
      <c r="M32" s="42">
        <v>1.9999999999999999E-6</v>
      </c>
      <c r="N32" s="43">
        <v>1</v>
      </c>
      <c r="O32" s="44">
        <v>56</v>
      </c>
      <c r="P32" s="49" t="str">
        <f t="shared" si="1"/>
        <v>TAK</v>
      </c>
      <c r="Q32" s="40">
        <v>9.7599999999999998E-4</v>
      </c>
      <c r="R32" s="43">
        <v>1.5579999999999999E-3</v>
      </c>
      <c r="S32" s="43">
        <v>6.0000000000000002E-6</v>
      </c>
      <c r="T32" s="43">
        <v>1</v>
      </c>
      <c r="U32" s="43">
        <v>114</v>
      </c>
      <c r="V32" s="44">
        <v>114</v>
      </c>
      <c r="W32" s="49" t="str">
        <f t="shared" si="2"/>
        <v>TAK</v>
      </c>
    </row>
    <row r="33" spans="1:23" x14ac:dyDescent="0.3">
      <c r="A33" s="65"/>
      <c r="B33" s="24">
        <v>31</v>
      </c>
      <c r="C33" s="40">
        <v>1.1255379999999999</v>
      </c>
      <c r="D33" s="41">
        <v>1.9605649999999999</v>
      </c>
      <c r="E33" s="42">
        <v>-4.3100000000000001E-4</v>
      </c>
      <c r="F33" s="43">
        <v>1.041E-3</v>
      </c>
      <c r="G33" s="43">
        <v>9.9999999999999995E-7</v>
      </c>
      <c r="H33" s="43">
        <v>1</v>
      </c>
      <c r="I33" s="44">
        <v>83</v>
      </c>
      <c r="J33" s="49" t="str">
        <f t="shared" si="0"/>
        <v>TAK</v>
      </c>
      <c r="K33" s="42">
        <v>2.5999999999999998E-5</v>
      </c>
      <c r="L33" s="42">
        <v>7.7399999999999995E-4</v>
      </c>
      <c r="M33" s="42">
        <v>9.9999999999999995E-7</v>
      </c>
      <c r="N33" s="43">
        <v>1</v>
      </c>
      <c r="O33" s="44">
        <v>68</v>
      </c>
      <c r="P33" s="49" t="str">
        <f t="shared" si="1"/>
        <v>TAK</v>
      </c>
      <c r="Q33" s="40">
        <v>1.0705849999999999</v>
      </c>
      <c r="R33" s="43">
        <v>-0.53337199999999996</v>
      </c>
      <c r="S33" s="43">
        <v>0.87736499999999995</v>
      </c>
      <c r="T33" s="43">
        <v>1</v>
      </c>
      <c r="U33" s="43">
        <v>140</v>
      </c>
      <c r="V33" s="44">
        <v>140</v>
      </c>
      <c r="W33" s="49" t="str">
        <f t="shared" si="2"/>
        <v>NIE</v>
      </c>
    </row>
    <row r="34" spans="1:23" x14ac:dyDescent="0.3">
      <c r="A34" s="65"/>
      <c r="B34" s="24">
        <v>32</v>
      </c>
      <c r="C34" s="40">
        <v>0.47429900000000003</v>
      </c>
      <c r="D34" s="41">
        <v>0.12352399999999999</v>
      </c>
      <c r="E34" s="42">
        <v>4.3199999999999998E-4</v>
      </c>
      <c r="F34" s="43">
        <v>-1.041E-3</v>
      </c>
      <c r="G34" s="43">
        <v>9.9999999999999995E-7</v>
      </c>
      <c r="H34" s="43">
        <v>1</v>
      </c>
      <c r="I34" s="44">
        <v>53</v>
      </c>
      <c r="J34" s="49" t="str">
        <f t="shared" si="0"/>
        <v>TAK</v>
      </c>
      <c r="K34" s="42">
        <v>2.5300000000000002E-4</v>
      </c>
      <c r="L34" s="42">
        <v>-1.145E-3</v>
      </c>
      <c r="M34" s="42">
        <v>9.9999999999999995E-7</v>
      </c>
      <c r="N34" s="43">
        <v>1</v>
      </c>
      <c r="O34" s="44">
        <v>50</v>
      </c>
      <c r="P34" s="49" t="str">
        <f t="shared" si="1"/>
        <v>TAK</v>
      </c>
      <c r="Q34" s="40">
        <v>1.634E-3</v>
      </c>
      <c r="R34" s="43">
        <v>9.2199999999999997E-4</v>
      </c>
      <c r="S34" s="43">
        <v>7.9999999999999996E-6</v>
      </c>
      <c r="T34" s="43">
        <v>1</v>
      </c>
      <c r="U34" s="43">
        <v>104</v>
      </c>
      <c r="V34" s="44">
        <v>104</v>
      </c>
      <c r="W34" s="49" t="str">
        <f t="shared" si="2"/>
        <v>TAK</v>
      </c>
    </row>
    <row r="35" spans="1:23" x14ac:dyDescent="0.3">
      <c r="A35" s="65"/>
      <c r="B35" s="24">
        <v>33</v>
      </c>
      <c r="C35" s="40">
        <v>0.84636800000000001</v>
      </c>
      <c r="D35" s="41">
        <v>1.4759899999999999</v>
      </c>
      <c r="E35" s="42">
        <v>-4.0900000000000002E-4</v>
      </c>
      <c r="F35" s="43">
        <v>9.8799999999999995E-4</v>
      </c>
      <c r="G35" s="43">
        <v>9.9999999999999995E-7</v>
      </c>
      <c r="H35" s="43">
        <v>1</v>
      </c>
      <c r="I35" s="44">
        <v>82</v>
      </c>
      <c r="J35" s="49" t="str">
        <f t="shared" si="0"/>
        <v>TAK</v>
      </c>
      <c r="K35" s="42">
        <v>-6.3999999999999997E-5</v>
      </c>
      <c r="L35" s="42">
        <v>7.2800000000000002E-4</v>
      </c>
      <c r="M35" s="42">
        <v>0</v>
      </c>
      <c r="N35" s="43">
        <v>1</v>
      </c>
      <c r="O35" s="44">
        <v>68</v>
      </c>
      <c r="P35" s="49" t="str">
        <f t="shared" si="1"/>
        <v>TAK</v>
      </c>
      <c r="Q35" s="40">
        <v>1.070363</v>
      </c>
      <c r="R35" s="43">
        <v>-0.53340699999999996</v>
      </c>
      <c r="S35" s="43">
        <v>0.87736499999999995</v>
      </c>
      <c r="T35" s="43">
        <v>1</v>
      </c>
      <c r="U35" s="43">
        <v>136</v>
      </c>
      <c r="V35" s="44">
        <v>136</v>
      </c>
      <c r="W35" s="49" t="str">
        <f t="shared" si="2"/>
        <v>NIE</v>
      </c>
    </row>
    <row r="36" spans="1:23" x14ac:dyDescent="0.3">
      <c r="A36" s="65"/>
      <c r="B36" s="24">
        <v>34</v>
      </c>
      <c r="C36" s="40">
        <v>1.7523</v>
      </c>
      <c r="D36" s="41">
        <v>0.121047</v>
      </c>
      <c r="E36" s="42">
        <v>1.747463</v>
      </c>
      <c r="F36" s="43">
        <v>-0.87285999999999997</v>
      </c>
      <c r="G36" s="43">
        <v>0.29863899999999999</v>
      </c>
      <c r="H36" s="43">
        <v>1</v>
      </c>
      <c r="I36" s="44">
        <v>70</v>
      </c>
      <c r="J36" s="49" t="str">
        <f t="shared" si="0"/>
        <v>NIE</v>
      </c>
      <c r="K36" s="42">
        <v>1.747368</v>
      </c>
      <c r="L36" s="42">
        <v>-0.87266900000000003</v>
      </c>
      <c r="M36" s="42">
        <v>0.29864000000000002</v>
      </c>
      <c r="N36" s="43">
        <v>1</v>
      </c>
      <c r="O36" s="44">
        <v>59</v>
      </c>
      <c r="P36" s="49" t="str">
        <f t="shared" si="1"/>
        <v>NIE</v>
      </c>
      <c r="Q36" s="40">
        <v>1.7475609999999999</v>
      </c>
      <c r="R36" s="43">
        <v>-0.87196600000000002</v>
      </c>
      <c r="S36" s="43">
        <v>0.29864200000000002</v>
      </c>
      <c r="T36" s="43">
        <v>1</v>
      </c>
      <c r="U36" s="43">
        <v>123</v>
      </c>
      <c r="V36" s="44">
        <v>123</v>
      </c>
      <c r="W36" s="49" t="str">
        <f t="shared" si="2"/>
        <v>NIE</v>
      </c>
    </row>
    <row r="37" spans="1:23" x14ac:dyDescent="0.3">
      <c r="A37" s="65"/>
      <c r="B37" s="24">
        <v>35</v>
      </c>
      <c r="C37" s="40">
        <v>0.18066199999999999</v>
      </c>
      <c r="D37" s="41">
        <v>1.107939</v>
      </c>
      <c r="E37" s="42">
        <v>-4.1899999999999999E-4</v>
      </c>
      <c r="F37" s="43">
        <v>1.0120000000000001E-3</v>
      </c>
      <c r="G37" s="43">
        <v>9.9999999999999995E-7</v>
      </c>
      <c r="H37" s="43">
        <v>1</v>
      </c>
      <c r="I37" s="44">
        <v>82</v>
      </c>
      <c r="J37" s="49" t="str">
        <f t="shared" si="0"/>
        <v>TAK</v>
      </c>
      <c r="K37" s="42">
        <v>-2.8899999999999998E-4</v>
      </c>
      <c r="L37" s="42">
        <v>1.0020000000000001E-3</v>
      </c>
      <c r="M37" s="42">
        <v>9.9999999999999995E-7</v>
      </c>
      <c r="N37" s="43">
        <v>1</v>
      </c>
      <c r="O37" s="44">
        <v>65</v>
      </c>
      <c r="P37" s="49" t="str">
        <f t="shared" si="1"/>
        <v>TAK</v>
      </c>
      <c r="Q37" s="40">
        <v>2.8400000000000002E-4</v>
      </c>
      <c r="R37" s="43">
        <v>1.8259999999999999E-3</v>
      </c>
      <c r="S37" s="43">
        <v>3.9999999999999998E-6</v>
      </c>
      <c r="T37" s="43">
        <v>1</v>
      </c>
      <c r="U37" s="43">
        <v>125</v>
      </c>
      <c r="V37" s="44">
        <v>125</v>
      </c>
      <c r="W37" s="49" t="str">
        <f t="shared" si="2"/>
        <v>TAK</v>
      </c>
    </row>
    <row r="38" spans="1:23" x14ac:dyDescent="0.3">
      <c r="A38" s="65"/>
      <c r="B38" s="24">
        <v>36</v>
      </c>
      <c r="C38" s="40">
        <v>5.5690999999999997E-2</v>
      </c>
      <c r="D38" s="41">
        <v>5.2923999999999999E-2</v>
      </c>
      <c r="E38" s="42">
        <v>-4.17E-4</v>
      </c>
      <c r="F38" s="43">
        <v>1.0169999999999999E-3</v>
      </c>
      <c r="G38" s="43">
        <v>9.9999999999999995E-7</v>
      </c>
      <c r="H38" s="43">
        <v>1</v>
      </c>
      <c r="I38" s="44">
        <v>39</v>
      </c>
      <c r="J38" s="49" t="str">
        <f t="shared" si="0"/>
        <v>TAK</v>
      </c>
      <c r="K38" s="42">
        <v>-4.55E-4</v>
      </c>
      <c r="L38" s="42">
        <v>4.17E-4</v>
      </c>
      <c r="M38" s="42">
        <v>0</v>
      </c>
      <c r="N38" s="43">
        <v>1</v>
      </c>
      <c r="O38" s="44">
        <v>41</v>
      </c>
      <c r="P38" s="49" t="str">
        <f t="shared" si="1"/>
        <v>TAK</v>
      </c>
      <c r="Q38" s="40">
        <v>1.312E-3</v>
      </c>
      <c r="R38" s="43">
        <v>1.2539999999999999E-3</v>
      </c>
      <c r="S38" s="43">
        <v>6.9999999999999999E-6</v>
      </c>
      <c r="T38" s="43">
        <v>1</v>
      </c>
      <c r="U38" s="43">
        <v>73</v>
      </c>
      <c r="V38" s="44">
        <v>73</v>
      </c>
      <c r="W38" s="49" t="str">
        <f t="shared" si="2"/>
        <v>TAK</v>
      </c>
    </row>
    <row r="39" spans="1:23" x14ac:dyDescent="0.3">
      <c r="A39" s="65"/>
      <c r="B39" s="24">
        <v>37</v>
      </c>
      <c r="C39" s="40">
        <v>7.3029999999999996E-3</v>
      </c>
      <c r="D39" s="41">
        <v>1.344638</v>
      </c>
      <c r="E39" s="42">
        <v>-4.28E-4</v>
      </c>
      <c r="F39" s="43">
        <v>1.034E-3</v>
      </c>
      <c r="G39" s="43">
        <v>9.9999999999999995E-7</v>
      </c>
      <c r="H39" s="43">
        <v>1</v>
      </c>
      <c r="I39" s="44">
        <v>85</v>
      </c>
      <c r="J39" s="49" t="str">
        <f t="shared" si="0"/>
        <v>TAK</v>
      </c>
      <c r="K39" s="42">
        <v>-5.3499999999999999E-4</v>
      </c>
      <c r="L39" s="42">
        <v>1.3159999999999999E-3</v>
      </c>
      <c r="M39" s="42">
        <v>1.9999999999999999E-6</v>
      </c>
      <c r="N39" s="43">
        <v>1</v>
      </c>
      <c r="O39" s="44">
        <v>65</v>
      </c>
      <c r="P39" s="49" t="str">
        <f t="shared" si="1"/>
        <v>TAK</v>
      </c>
      <c r="Q39" s="40">
        <v>1.0000000000000001E-5</v>
      </c>
      <c r="R39" s="43">
        <v>1.8929999999999999E-3</v>
      </c>
      <c r="S39" s="43">
        <v>3.9999999999999998E-6</v>
      </c>
      <c r="T39" s="43">
        <v>1</v>
      </c>
      <c r="U39" s="43">
        <v>128</v>
      </c>
      <c r="V39" s="44">
        <v>128</v>
      </c>
      <c r="W39" s="49" t="str">
        <f t="shared" si="2"/>
        <v>TAK</v>
      </c>
    </row>
    <row r="40" spans="1:23" x14ac:dyDescent="0.3">
      <c r="A40" s="65"/>
      <c r="B40" s="24">
        <v>38</v>
      </c>
      <c r="C40" s="40">
        <v>1.873432</v>
      </c>
      <c r="D40" s="41">
        <v>1.409184</v>
      </c>
      <c r="E40" s="42">
        <v>1.747466</v>
      </c>
      <c r="F40" s="43">
        <v>-0.87288699999999997</v>
      </c>
      <c r="G40" s="43">
        <v>0.29863899999999999</v>
      </c>
      <c r="H40" s="43">
        <v>1</v>
      </c>
      <c r="I40" s="44">
        <v>79</v>
      </c>
      <c r="J40" s="49" t="str">
        <f t="shared" si="0"/>
        <v>NIE</v>
      </c>
      <c r="K40" s="42" t="s">
        <v>22</v>
      </c>
      <c r="L40" s="42" t="s">
        <v>22</v>
      </c>
      <c r="M40" s="42" t="s">
        <v>22</v>
      </c>
      <c r="N40" s="43">
        <v>1</v>
      </c>
      <c r="O40" s="44">
        <v>46</v>
      </c>
      <c r="P40" s="49" t="e">
        <f t="shared" si="1"/>
        <v>#VALUE!</v>
      </c>
      <c r="Q40" s="40">
        <v>1.7476929999999999</v>
      </c>
      <c r="R40" s="43">
        <v>-0.87196799999999997</v>
      </c>
      <c r="S40" s="43">
        <v>0.29864200000000002</v>
      </c>
      <c r="T40" s="43">
        <v>1</v>
      </c>
      <c r="U40" s="43">
        <v>139</v>
      </c>
      <c r="V40" s="44">
        <v>139</v>
      </c>
      <c r="W40" s="49" t="str">
        <f t="shared" si="2"/>
        <v>NIE</v>
      </c>
    </row>
    <row r="41" spans="1:23" x14ac:dyDescent="0.3">
      <c r="A41" s="65"/>
      <c r="B41" s="24">
        <v>39</v>
      </c>
      <c r="C41" s="40">
        <v>1.595756</v>
      </c>
      <c r="D41" s="41">
        <v>0.31278499999999998</v>
      </c>
      <c r="E41" s="42">
        <v>1.7474620000000001</v>
      </c>
      <c r="F41" s="43">
        <v>-0.87285500000000005</v>
      </c>
      <c r="G41" s="43">
        <v>0.29863899999999999</v>
      </c>
      <c r="H41" s="43">
        <v>1</v>
      </c>
      <c r="I41" s="44">
        <v>72</v>
      </c>
      <c r="J41" s="49" t="str">
        <f t="shared" si="0"/>
        <v>NIE</v>
      </c>
      <c r="K41" s="42">
        <v>1.7474700000000001</v>
      </c>
      <c r="L41" s="42">
        <v>-0.87286600000000003</v>
      </c>
      <c r="M41" s="42">
        <v>0.29863899999999999</v>
      </c>
      <c r="N41" s="43">
        <v>1</v>
      </c>
      <c r="O41" s="44">
        <v>62</v>
      </c>
      <c r="P41" s="49" t="str">
        <f t="shared" si="1"/>
        <v>NIE</v>
      </c>
      <c r="Q41" s="40">
        <v>1.7474050000000001</v>
      </c>
      <c r="R41" s="43">
        <v>-0.87197000000000002</v>
      </c>
      <c r="S41" s="43">
        <v>0.29864200000000002</v>
      </c>
      <c r="T41" s="43">
        <v>1</v>
      </c>
      <c r="U41" s="43">
        <v>126</v>
      </c>
      <c r="V41" s="44">
        <v>126</v>
      </c>
      <c r="W41" s="49" t="str">
        <f t="shared" si="2"/>
        <v>NIE</v>
      </c>
    </row>
    <row r="42" spans="1:23" x14ac:dyDescent="0.3">
      <c r="A42" s="65"/>
      <c r="B42" s="24">
        <v>40</v>
      </c>
      <c r="C42" s="40">
        <v>1.9352210000000001</v>
      </c>
      <c r="D42" s="41">
        <v>1.9879230000000001</v>
      </c>
      <c r="E42" s="42">
        <v>1.747466</v>
      </c>
      <c r="F42" s="43">
        <v>-0.872888</v>
      </c>
      <c r="G42" s="43">
        <v>0.29863899999999999</v>
      </c>
      <c r="H42" s="43">
        <v>1</v>
      </c>
      <c r="I42" s="44">
        <v>82</v>
      </c>
      <c r="J42" s="49" t="str">
        <f t="shared" si="0"/>
        <v>NIE</v>
      </c>
      <c r="K42" s="42" t="s">
        <v>22</v>
      </c>
      <c r="L42" s="42" t="s">
        <v>22</v>
      </c>
      <c r="M42" s="42" t="s">
        <v>22</v>
      </c>
      <c r="N42" s="43">
        <v>1</v>
      </c>
      <c r="O42" s="44">
        <v>49</v>
      </c>
      <c r="P42" s="49" t="e">
        <f t="shared" si="1"/>
        <v>#VALUE!</v>
      </c>
      <c r="Q42" s="40">
        <v>1.7477510000000001</v>
      </c>
      <c r="R42" s="43">
        <v>-0.87194799999999995</v>
      </c>
      <c r="S42" s="43">
        <v>0.29864200000000002</v>
      </c>
      <c r="T42" s="43">
        <v>1</v>
      </c>
      <c r="U42" s="43">
        <v>143</v>
      </c>
      <c r="V42" s="44">
        <v>143</v>
      </c>
      <c r="W42" s="49" t="str">
        <f t="shared" si="2"/>
        <v>NIE</v>
      </c>
    </row>
    <row r="43" spans="1:23" x14ac:dyDescent="0.3">
      <c r="A43" s="65"/>
      <c r="B43" s="24">
        <v>41</v>
      </c>
      <c r="C43" s="40">
        <v>1.4680800000000001</v>
      </c>
      <c r="D43" s="41">
        <v>1.046708</v>
      </c>
      <c r="E43" s="42">
        <v>1.747465</v>
      </c>
      <c r="F43" s="43">
        <v>-0.87287899999999996</v>
      </c>
      <c r="G43" s="43">
        <v>0.29863899999999999</v>
      </c>
      <c r="H43" s="43">
        <v>1</v>
      </c>
      <c r="I43" s="44">
        <v>78</v>
      </c>
      <c r="J43" s="49" t="str">
        <f t="shared" si="0"/>
        <v>NIE</v>
      </c>
      <c r="K43" s="42">
        <v>1.747366</v>
      </c>
      <c r="L43" s="42">
        <v>-0.87287499999999996</v>
      </c>
      <c r="M43" s="42">
        <v>0.29863899999999999</v>
      </c>
      <c r="N43" s="43">
        <v>1</v>
      </c>
      <c r="O43" s="44">
        <v>50</v>
      </c>
      <c r="P43" s="49" t="str">
        <f t="shared" si="1"/>
        <v>NIE</v>
      </c>
      <c r="Q43" s="40">
        <v>1.070805</v>
      </c>
      <c r="R43" s="43">
        <v>-0.53346300000000002</v>
      </c>
      <c r="S43" s="43">
        <v>0.87736499999999995</v>
      </c>
      <c r="T43" s="43">
        <v>1</v>
      </c>
      <c r="U43" s="43">
        <v>133</v>
      </c>
      <c r="V43" s="44">
        <v>133</v>
      </c>
      <c r="W43" s="49" t="str">
        <f t="shared" si="2"/>
        <v>NIE</v>
      </c>
    </row>
    <row r="44" spans="1:23" x14ac:dyDescent="0.3">
      <c r="A44" s="65"/>
      <c r="B44" s="24">
        <v>42</v>
      </c>
      <c r="C44" s="40">
        <v>0.72564799999999996</v>
      </c>
      <c r="D44" s="41">
        <v>1.132536</v>
      </c>
      <c r="E44" s="42">
        <v>-4.2900000000000002E-4</v>
      </c>
      <c r="F44" s="43">
        <v>1.0349999999999999E-3</v>
      </c>
      <c r="G44" s="43">
        <v>9.9999999999999995E-7</v>
      </c>
      <c r="H44" s="43">
        <v>1</v>
      </c>
      <c r="I44" s="44">
        <v>78</v>
      </c>
      <c r="J44" s="49" t="str">
        <f t="shared" si="0"/>
        <v>TAK</v>
      </c>
      <c r="K44" s="42">
        <v>-5.1E-5</v>
      </c>
      <c r="L44" s="42">
        <v>5.8E-4</v>
      </c>
      <c r="M44" s="42">
        <v>0</v>
      </c>
      <c r="N44" s="43">
        <v>1</v>
      </c>
      <c r="O44" s="44">
        <v>68</v>
      </c>
      <c r="P44" s="49" t="str">
        <f t="shared" si="1"/>
        <v>TAK</v>
      </c>
      <c r="Q44" s="40">
        <v>1.070252</v>
      </c>
      <c r="R44" s="43">
        <v>-0.53341099999999997</v>
      </c>
      <c r="S44" s="43">
        <v>0.87736400000000003</v>
      </c>
      <c r="T44" s="43">
        <v>1</v>
      </c>
      <c r="U44" s="43">
        <v>132</v>
      </c>
      <c r="V44" s="44">
        <v>132</v>
      </c>
      <c r="W44" s="49" t="str">
        <f t="shared" si="2"/>
        <v>NIE</v>
      </c>
    </row>
    <row r="45" spans="1:23" x14ac:dyDescent="0.3">
      <c r="A45" s="65"/>
      <c r="B45" s="24">
        <v>43</v>
      </c>
      <c r="C45" s="40">
        <v>1.6606479999999999</v>
      </c>
      <c r="D45" s="41">
        <v>0.108571</v>
      </c>
      <c r="E45" s="42">
        <v>1.747463</v>
      </c>
      <c r="F45" s="43">
        <v>-0.87285900000000005</v>
      </c>
      <c r="G45" s="43">
        <v>0.29863899999999999</v>
      </c>
      <c r="H45" s="43">
        <v>1</v>
      </c>
      <c r="I45" s="44">
        <v>70</v>
      </c>
      <c r="J45" s="49" t="str">
        <f t="shared" si="0"/>
        <v>NIE</v>
      </c>
      <c r="K45" s="42">
        <v>1.747482</v>
      </c>
      <c r="L45" s="42">
        <v>-0.87302199999999996</v>
      </c>
      <c r="M45" s="42">
        <v>0.29863899999999999</v>
      </c>
      <c r="N45" s="43">
        <v>1</v>
      </c>
      <c r="O45" s="44">
        <v>62</v>
      </c>
      <c r="P45" s="49" t="str">
        <f t="shared" si="1"/>
        <v>NIE</v>
      </c>
      <c r="Q45" s="40">
        <v>1.7474240000000001</v>
      </c>
      <c r="R45" s="43">
        <v>-0.87191300000000005</v>
      </c>
      <c r="S45" s="43">
        <v>0.29864200000000002</v>
      </c>
      <c r="T45" s="43">
        <v>1</v>
      </c>
      <c r="U45" s="43">
        <v>122</v>
      </c>
      <c r="V45" s="44">
        <v>122</v>
      </c>
      <c r="W45" s="49" t="str">
        <f t="shared" si="2"/>
        <v>NIE</v>
      </c>
    </row>
    <row r="46" spans="1:23" x14ac:dyDescent="0.3">
      <c r="A46" s="65"/>
      <c r="B46" s="24">
        <v>44</v>
      </c>
      <c r="C46" s="40">
        <v>1.8381240000000001</v>
      </c>
      <c r="D46" s="41">
        <v>1.1254580000000001</v>
      </c>
      <c r="E46" s="42">
        <v>1.7474609999999999</v>
      </c>
      <c r="F46" s="43">
        <v>-0.87283900000000003</v>
      </c>
      <c r="G46" s="43">
        <v>0.29863899999999999</v>
      </c>
      <c r="H46" s="43">
        <v>1</v>
      </c>
      <c r="I46" s="44">
        <v>77</v>
      </c>
      <c r="J46" s="49" t="str">
        <f t="shared" si="0"/>
        <v>NIE</v>
      </c>
      <c r="K46" s="42">
        <v>1.7476290000000001</v>
      </c>
      <c r="L46" s="42">
        <v>-0.87443300000000002</v>
      </c>
      <c r="M46" s="42">
        <v>0.29863899999999999</v>
      </c>
      <c r="N46" s="43">
        <v>1</v>
      </c>
      <c r="O46" s="44">
        <v>47</v>
      </c>
      <c r="P46" s="49" t="str">
        <f t="shared" si="1"/>
        <v>NIE</v>
      </c>
      <c r="Q46" s="40">
        <v>1.74766</v>
      </c>
      <c r="R46" s="43">
        <v>-0.87192000000000003</v>
      </c>
      <c r="S46" s="43">
        <v>0.29864200000000002</v>
      </c>
      <c r="T46" s="43">
        <v>1</v>
      </c>
      <c r="U46" s="43">
        <v>136</v>
      </c>
      <c r="V46" s="44">
        <v>136</v>
      </c>
      <c r="W46" s="49" t="str">
        <f t="shared" si="2"/>
        <v>NIE</v>
      </c>
    </row>
    <row r="47" spans="1:23" x14ac:dyDescent="0.3">
      <c r="A47" s="65"/>
      <c r="B47" s="24">
        <v>45</v>
      </c>
      <c r="C47" s="40">
        <v>0.241032</v>
      </c>
      <c r="D47" s="41">
        <v>1.8693610000000001</v>
      </c>
      <c r="E47" s="42">
        <v>-4.4200000000000001E-4</v>
      </c>
      <c r="F47" s="43">
        <v>1.067E-3</v>
      </c>
      <c r="G47" s="43">
        <v>9.9999999999999995E-7</v>
      </c>
      <c r="H47" s="43">
        <v>1</v>
      </c>
      <c r="I47" s="44">
        <v>88</v>
      </c>
      <c r="J47" s="49" t="str">
        <f t="shared" si="0"/>
        <v>TAK</v>
      </c>
      <c r="K47" s="42">
        <v>-2.33E-4</v>
      </c>
      <c r="L47" s="42">
        <v>9.6699999999999998E-4</v>
      </c>
      <c r="M47" s="42">
        <v>9.9999999999999995E-7</v>
      </c>
      <c r="N47" s="43">
        <v>1</v>
      </c>
      <c r="O47" s="44">
        <v>68</v>
      </c>
      <c r="P47" s="49" t="str">
        <f t="shared" si="1"/>
        <v>TAK</v>
      </c>
      <c r="Q47" s="40">
        <v>2.1900000000000001E-4</v>
      </c>
      <c r="R47" s="43">
        <v>1.8469999999999999E-3</v>
      </c>
      <c r="S47" s="43">
        <v>3.9999999999999998E-6</v>
      </c>
      <c r="T47" s="43">
        <v>1</v>
      </c>
      <c r="U47" s="43">
        <v>135</v>
      </c>
      <c r="V47" s="44">
        <v>135</v>
      </c>
      <c r="W47" s="49" t="str">
        <f t="shared" si="2"/>
        <v>TAK</v>
      </c>
    </row>
    <row r="48" spans="1:23" x14ac:dyDescent="0.3">
      <c r="A48" s="65"/>
      <c r="B48" s="24">
        <v>46</v>
      </c>
      <c r="C48" s="40">
        <v>1.0961050000000001</v>
      </c>
      <c r="D48" s="41">
        <v>1.398828</v>
      </c>
      <c r="E48" s="42">
        <v>-4.0999999999999999E-4</v>
      </c>
      <c r="F48" s="43">
        <v>9.8900000000000008E-4</v>
      </c>
      <c r="G48" s="43">
        <v>9.9999999999999995E-7</v>
      </c>
      <c r="H48" s="43">
        <v>1</v>
      </c>
      <c r="I48" s="44">
        <v>75</v>
      </c>
      <c r="J48" s="49" t="str">
        <f t="shared" si="0"/>
        <v>TAK</v>
      </c>
      <c r="K48" s="42">
        <v>1.7899999999999999E-4</v>
      </c>
      <c r="L48" s="42">
        <v>-8.3900000000000001E-4</v>
      </c>
      <c r="M48" s="42">
        <v>9.9999999999999995E-7</v>
      </c>
      <c r="N48" s="43">
        <v>1</v>
      </c>
      <c r="O48" s="44">
        <v>59</v>
      </c>
      <c r="P48" s="49" t="str">
        <f t="shared" si="1"/>
        <v>TAK</v>
      </c>
      <c r="Q48" s="40">
        <v>1.0705659999999999</v>
      </c>
      <c r="R48" s="43">
        <v>-0.53346499999999997</v>
      </c>
      <c r="S48" s="43">
        <v>0.87736499999999995</v>
      </c>
      <c r="T48" s="43">
        <v>1</v>
      </c>
      <c r="U48" s="43">
        <v>136</v>
      </c>
      <c r="V48" s="44">
        <v>136</v>
      </c>
      <c r="W48" s="49" t="str">
        <f t="shared" si="2"/>
        <v>NIE</v>
      </c>
    </row>
    <row r="49" spans="1:23" x14ac:dyDescent="0.3">
      <c r="A49" s="65"/>
      <c r="B49" s="24">
        <v>47</v>
      </c>
      <c r="C49" s="40">
        <v>1.276043</v>
      </c>
      <c r="D49" s="41">
        <v>0.54253099999999999</v>
      </c>
      <c r="E49" s="42">
        <v>1.747466</v>
      </c>
      <c r="F49" s="43">
        <v>-0.87289000000000005</v>
      </c>
      <c r="G49" s="43">
        <v>0.29863899999999999</v>
      </c>
      <c r="H49" s="43">
        <v>1</v>
      </c>
      <c r="I49" s="44">
        <v>79</v>
      </c>
      <c r="J49" s="49" t="str">
        <f t="shared" si="0"/>
        <v>NIE</v>
      </c>
      <c r="K49" s="42" t="s">
        <v>22</v>
      </c>
      <c r="L49" s="42" t="s">
        <v>22</v>
      </c>
      <c r="M49" s="42" t="s">
        <v>22</v>
      </c>
      <c r="N49" s="43">
        <v>1</v>
      </c>
      <c r="O49" s="44">
        <v>40</v>
      </c>
      <c r="P49" s="49" t="e">
        <f t="shared" si="1"/>
        <v>#VALUE!</v>
      </c>
      <c r="Q49" s="40">
        <v>1.0708880000000001</v>
      </c>
      <c r="R49" s="43">
        <v>-0.53340299999999996</v>
      </c>
      <c r="S49" s="43">
        <v>0.87736499999999995</v>
      </c>
      <c r="T49" s="43">
        <v>1</v>
      </c>
      <c r="U49" s="43">
        <v>124</v>
      </c>
      <c r="V49" s="44">
        <v>124</v>
      </c>
      <c r="W49" s="49" t="str">
        <f t="shared" si="2"/>
        <v>NIE</v>
      </c>
    </row>
    <row r="50" spans="1:23" x14ac:dyDescent="0.3">
      <c r="A50" s="65"/>
      <c r="B50" s="24">
        <v>48</v>
      </c>
      <c r="C50" s="40">
        <v>1.969992</v>
      </c>
      <c r="D50" s="41">
        <v>1.345672</v>
      </c>
      <c r="E50" s="42">
        <v>1.747468</v>
      </c>
      <c r="F50" s="43">
        <v>-0.87291300000000005</v>
      </c>
      <c r="G50" s="43">
        <v>0.29863899999999999</v>
      </c>
      <c r="H50" s="43">
        <v>1</v>
      </c>
      <c r="I50" s="44">
        <v>79</v>
      </c>
      <c r="J50" s="49" t="str">
        <f t="shared" si="0"/>
        <v>NIE</v>
      </c>
      <c r="K50" s="42" t="s">
        <v>22</v>
      </c>
      <c r="L50" s="42" t="s">
        <v>22</v>
      </c>
      <c r="M50" s="42" t="s">
        <v>22</v>
      </c>
      <c r="N50" s="43">
        <v>1</v>
      </c>
      <c r="O50" s="44">
        <v>49</v>
      </c>
      <c r="P50" s="49" t="e">
        <f t="shared" si="1"/>
        <v>#VALUE!</v>
      </c>
      <c r="Q50" s="40">
        <v>1.7478819999999999</v>
      </c>
      <c r="R50" s="43">
        <v>-0.87197599999999997</v>
      </c>
      <c r="S50" s="43">
        <v>0.29864299999999999</v>
      </c>
      <c r="T50" s="43">
        <v>1</v>
      </c>
      <c r="U50" s="43">
        <v>138</v>
      </c>
      <c r="V50" s="44">
        <v>138</v>
      </c>
      <c r="W50" s="49" t="str">
        <f t="shared" si="2"/>
        <v>NIE</v>
      </c>
    </row>
    <row r="51" spans="1:23" x14ac:dyDescent="0.3">
      <c r="A51" s="65"/>
      <c r="B51" s="24">
        <v>49</v>
      </c>
      <c r="C51" s="40">
        <v>8.8182999999999997E-2</v>
      </c>
      <c r="D51" s="41">
        <v>0.28065499999999999</v>
      </c>
      <c r="E51" s="42">
        <v>-4.3600000000000003E-4</v>
      </c>
      <c r="F51" s="43">
        <v>1.054E-3</v>
      </c>
      <c r="G51" s="43">
        <v>9.9999999999999995E-7</v>
      </c>
      <c r="H51" s="43">
        <v>1</v>
      </c>
      <c r="I51" s="44">
        <v>64</v>
      </c>
      <c r="J51" s="49" t="str">
        <f t="shared" si="0"/>
        <v>TAK</v>
      </c>
      <c r="K51" s="42">
        <v>2.0999999999999999E-5</v>
      </c>
      <c r="L51" s="42">
        <v>7.9000000000000001E-4</v>
      </c>
      <c r="M51" s="42">
        <v>9.9999999999999995E-7</v>
      </c>
      <c r="N51" s="43">
        <v>1</v>
      </c>
      <c r="O51" s="44">
        <v>56</v>
      </c>
      <c r="P51" s="49" t="str">
        <f t="shared" si="1"/>
        <v>TAK</v>
      </c>
      <c r="Q51" s="40">
        <v>5.44E-4</v>
      </c>
      <c r="R51" s="43">
        <v>1.7520000000000001E-3</v>
      </c>
      <c r="S51" s="43">
        <v>5.0000000000000004E-6</v>
      </c>
      <c r="T51" s="43">
        <v>1</v>
      </c>
      <c r="U51" s="43">
        <v>99</v>
      </c>
      <c r="V51" s="44">
        <v>99</v>
      </c>
      <c r="W51" s="49" t="str">
        <f t="shared" si="2"/>
        <v>TAK</v>
      </c>
    </row>
    <row r="52" spans="1:23" x14ac:dyDescent="0.3">
      <c r="A52" s="65"/>
      <c r="B52" s="24">
        <v>50</v>
      </c>
      <c r="C52" s="40">
        <v>1.8913679999999999</v>
      </c>
      <c r="D52" s="41">
        <v>0.72984499999999997</v>
      </c>
      <c r="E52" s="42">
        <v>1.7474639999999999</v>
      </c>
      <c r="F52" s="43">
        <v>-0.87287300000000001</v>
      </c>
      <c r="G52" s="43">
        <v>0.29863899999999999</v>
      </c>
      <c r="H52" s="43">
        <v>1</v>
      </c>
      <c r="I52" s="44">
        <v>75</v>
      </c>
      <c r="J52" s="49" t="str">
        <f t="shared" si="0"/>
        <v>NIE</v>
      </c>
      <c r="K52" s="42">
        <v>1.7473909999999999</v>
      </c>
      <c r="L52" s="42">
        <v>-0.87262300000000004</v>
      </c>
      <c r="M52" s="42">
        <v>0.29864000000000002</v>
      </c>
      <c r="N52" s="43">
        <v>1</v>
      </c>
      <c r="O52" s="44">
        <v>62</v>
      </c>
      <c r="P52" s="49" t="str">
        <f t="shared" si="1"/>
        <v>NIE</v>
      </c>
      <c r="Q52" s="40">
        <v>1.7477929999999999</v>
      </c>
      <c r="R52" s="43">
        <v>-0.87197499999999994</v>
      </c>
      <c r="S52" s="43">
        <v>0.29864200000000002</v>
      </c>
      <c r="T52" s="43">
        <v>1</v>
      </c>
      <c r="U52" s="43">
        <v>132</v>
      </c>
      <c r="V52" s="44">
        <v>132</v>
      </c>
      <c r="W52" s="49" t="str">
        <f t="shared" si="2"/>
        <v>NIE</v>
      </c>
    </row>
    <row r="53" spans="1:23" x14ac:dyDescent="0.3">
      <c r="A53" s="65"/>
      <c r="B53" s="24">
        <v>51</v>
      </c>
      <c r="C53" s="40">
        <v>0.84592299999999998</v>
      </c>
      <c r="D53" s="41">
        <v>1.9310369999999999</v>
      </c>
      <c r="E53" s="42">
        <v>-4.3199999999999998E-4</v>
      </c>
      <c r="F53" s="43">
        <v>1.0430000000000001E-3</v>
      </c>
      <c r="G53" s="43">
        <v>9.9999999999999995E-7</v>
      </c>
      <c r="H53" s="43">
        <v>1</v>
      </c>
      <c r="I53" s="44">
        <v>86</v>
      </c>
      <c r="J53" s="49" t="str">
        <f t="shared" si="0"/>
        <v>TAK</v>
      </c>
      <c r="K53" s="42">
        <v>-1.3999999999999999E-4</v>
      </c>
      <c r="L53" s="42">
        <v>9.8900000000000008E-4</v>
      </c>
      <c r="M53" s="42">
        <v>9.9999999999999995E-7</v>
      </c>
      <c r="N53" s="43">
        <v>1</v>
      </c>
      <c r="O53" s="44">
        <v>68</v>
      </c>
      <c r="P53" s="49" t="str">
        <f t="shared" si="1"/>
        <v>TAK</v>
      </c>
      <c r="Q53" s="40">
        <v>1.0703959999999999</v>
      </c>
      <c r="R53" s="43">
        <v>-0.53340699999999996</v>
      </c>
      <c r="S53" s="43">
        <v>0.87736499999999995</v>
      </c>
      <c r="T53" s="43">
        <v>1</v>
      </c>
      <c r="U53" s="43">
        <v>140</v>
      </c>
      <c r="V53" s="44">
        <v>140</v>
      </c>
      <c r="W53" s="49" t="str">
        <f t="shared" si="2"/>
        <v>NIE</v>
      </c>
    </row>
    <row r="54" spans="1:23" x14ac:dyDescent="0.3">
      <c r="A54" s="65"/>
      <c r="B54" s="24">
        <v>52</v>
      </c>
      <c r="C54" s="40">
        <v>0.324125</v>
      </c>
      <c r="D54" s="41">
        <v>1.449519</v>
      </c>
      <c r="E54" s="42">
        <v>-4.1599999999999997E-4</v>
      </c>
      <c r="F54" s="43">
        <v>1.005E-3</v>
      </c>
      <c r="G54" s="43">
        <v>9.9999999999999995E-7</v>
      </c>
      <c r="H54" s="43">
        <v>1</v>
      </c>
      <c r="I54" s="44">
        <v>85</v>
      </c>
      <c r="J54" s="49" t="str">
        <f t="shared" si="0"/>
        <v>TAK</v>
      </c>
      <c r="K54" s="42">
        <v>-2.72E-4</v>
      </c>
      <c r="L54" s="42">
        <v>8.7799999999999998E-4</v>
      </c>
      <c r="M54" s="42">
        <v>9.9999999999999995E-7</v>
      </c>
      <c r="N54" s="43">
        <v>1</v>
      </c>
      <c r="O54" s="44">
        <v>68</v>
      </c>
      <c r="P54" s="49" t="str">
        <f t="shared" si="1"/>
        <v>TAK</v>
      </c>
      <c r="Q54" s="40">
        <v>3.39E-4</v>
      </c>
      <c r="R54" s="43">
        <v>1.776E-3</v>
      </c>
      <c r="S54" s="43">
        <v>3.9999999999999998E-6</v>
      </c>
      <c r="T54" s="43">
        <v>1</v>
      </c>
      <c r="U54" s="43">
        <v>131</v>
      </c>
      <c r="V54" s="44">
        <v>131</v>
      </c>
      <c r="W54" s="49" t="str">
        <f t="shared" si="2"/>
        <v>TAK</v>
      </c>
    </row>
    <row r="55" spans="1:23" x14ac:dyDescent="0.3">
      <c r="A55" s="65"/>
      <c r="B55" s="24">
        <v>53</v>
      </c>
      <c r="C55" s="40">
        <v>0.71985699999999997</v>
      </c>
      <c r="D55" s="41">
        <v>1.128611</v>
      </c>
      <c r="E55" s="42">
        <v>-4.2900000000000002E-4</v>
      </c>
      <c r="F55" s="43">
        <v>1.036E-3</v>
      </c>
      <c r="G55" s="43">
        <v>9.9999999999999995E-7</v>
      </c>
      <c r="H55" s="43">
        <v>1</v>
      </c>
      <c r="I55" s="44">
        <v>78</v>
      </c>
      <c r="J55" s="49" t="str">
        <f t="shared" si="0"/>
        <v>TAK</v>
      </c>
      <c r="K55" s="42">
        <v>-5.3000000000000001E-5</v>
      </c>
      <c r="L55" s="42">
        <v>5.8100000000000003E-4</v>
      </c>
      <c r="M55" s="42">
        <v>0</v>
      </c>
      <c r="N55" s="43">
        <v>1</v>
      </c>
      <c r="O55" s="44">
        <v>68</v>
      </c>
      <c r="P55" s="49" t="str">
        <f t="shared" si="1"/>
        <v>TAK</v>
      </c>
      <c r="Q55" s="40">
        <v>1.070249</v>
      </c>
      <c r="R55" s="43">
        <v>-0.53341799999999995</v>
      </c>
      <c r="S55" s="43">
        <v>0.87736400000000003</v>
      </c>
      <c r="T55" s="43">
        <v>1</v>
      </c>
      <c r="U55" s="43">
        <v>132</v>
      </c>
      <c r="V55" s="44">
        <v>132</v>
      </c>
      <c r="W55" s="49" t="str">
        <f t="shared" si="2"/>
        <v>NIE</v>
      </c>
    </row>
    <row r="56" spans="1:23" x14ac:dyDescent="0.3">
      <c r="A56" s="65"/>
      <c r="B56" s="24">
        <v>54</v>
      </c>
      <c r="C56" s="40">
        <v>0.27024199999999998</v>
      </c>
      <c r="D56" s="41">
        <v>0.99792599999999998</v>
      </c>
      <c r="E56" s="42">
        <v>-4.2200000000000001E-4</v>
      </c>
      <c r="F56" s="43">
        <v>1.0200000000000001E-3</v>
      </c>
      <c r="G56" s="43">
        <v>9.9999999999999995E-7</v>
      </c>
      <c r="H56" s="43">
        <v>1</v>
      </c>
      <c r="I56" s="44">
        <v>80</v>
      </c>
      <c r="J56" s="49" t="str">
        <f t="shared" si="0"/>
        <v>TAK</v>
      </c>
      <c r="K56" s="42">
        <v>-1.84E-4</v>
      </c>
      <c r="L56" s="42">
        <v>8.61E-4</v>
      </c>
      <c r="M56" s="42">
        <v>9.9999999999999995E-7</v>
      </c>
      <c r="N56" s="43">
        <v>1</v>
      </c>
      <c r="O56" s="44">
        <v>65</v>
      </c>
      <c r="P56" s="49" t="str">
        <f t="shared" si="1"/>
        <v>TAK</v>
      </c>
      <c r="Q56" s="40">
        <v>4.46E-4</v>
      </c>
      <c r="R56" s="43">
        <v>1.8389999999999999E-3</v>
      </c>
      <c r="S56" s="43">
        <v>5.0000000000000004E-6</v>
      </c>
      <c r="T56" s="43">
        <v>1</v>
      </c>
      <c r="U56" s="43">
        <v>123</v>
      </c>
      <c r="V56" s="44">
        <v>123</v>
      </c>
      <c r="W56" s="49" t="str">
        <f t="shared" si="2"/>
        <v>TAK</v>
      </c>
    </row>
    <row r="57" spans="1:23" x14ac:dyDescent="0.3">
      <c r="A57" s="65"/>
      <c r="B57" s="24">
        <v>55</v>
      </c>
      <c r="C57" s="40">
        <v>0.764899</v>
      </c>
      <c r="D57" s="41">
        <v>1.7737039999999999</v>
      </c>
      <c r="E57" s="42">
        <v>-4.3899999999999999E-4</v>
      </c>
      <c r="F57" s="43">
        <v>1.06E-3</v>
      </c>
      <c r="G57" s="43">
        <v>9.9999999999999995E-7</v>
      </c>
      <c r="H57" s="43">
        <v>1</v>
      </c>
      <c r="I57" s="44">
        <v>85</v>
      </c>
      <c r="J57" s="49" t="str">
        <f t="shared" si="0"/>
        <v>TAK</v>
      </c>
      <c r="K57" s="42">
        <v>-1.4899999999999999E-4</v>
      </c>
      <c r="L57" s="42">
        <v>9.3300000000000002E-4</v>
      </c>
      <c r="M57" s="42">
        <v>9.9999999999999995E-7</v>
      </c>
      <c r="N57" s="43">
        <v>1</v>
      </c>
      <c r="O57" s="44">
        <v>68</v>
      </c>
      <c r="P57" s="49" t="str">
        <f t="shared" si="1"/>
        <v>TAK</v>
      </c>
      <c r="Q57" s="40">
        <v>1.070352</v>
      </c>
      <c r="R57" s="43">
        <v>-0.53344899999999995</v>
      </c>
      <c r="S57" s="43">
        <v>0.87736400000000003</v>
      </c>
      <c r="T57" s="43">
        <v>1</v>
      </c>
      <c r="U57" s="43">
        <v>139</v>
      </c>
      <c r="V57" s="44">
        <v>139</v>
      </c>
      <c r="W57" s="49" t="str">
        <f t="shared" si="2"/>
        <v>NIE</v>
      </c>
    </row>
    <row r="58" spans="1:23" x14ac:dyDescent="0.3">
      <c r="A58" s="65"/>
      <c r="B58" s="24">
        <v>56</v>
      </c>
      <c r="C58" s="40">
        <v>1.080586</v>
      </c>
      <c r="D58" s="41">
        <v>2.2409999999999999E-3</v>
      </c>
      <c r="E58" s="42">
        <v>4.15E-4</v>
      </c>
      <c r="F58" s="43">
        <v>-1.0020000000000001E-3</v>
      </c>
      <c r="G58" s="43">
        <v>9.9999999999999995E-7</v>
      </c>
      <c r="H58" s="43">
        <v>1</v>
      </c>
      <c r="I58" s="44">
        <v>87</v>
      </c>
      <c r="J58" s="49" t="str">
        <f t="shared" si="0"/>
        <v>TAK</v>
      </c>
      <c r="K58" s="42" t="s">
        <v>22</v>
      </c>
      <c r="L58" s="42" t="s">
        <v>22</v>
      </c>
      <c r="M58" s="42" t="s">
        <v>22</v>
      </c>
      <c r="N58" s="43">
        <v>1</v>
      </c>
      <c r="O58" s="44">
        <v>37</v>
      </c>
      <c r="P58" s="49" t="e">
        <f t="shared" si="1"/>
        <v>#VALUE!</v>
      </c>
      <c r="Q58" s="40">
        <v>1.070576</v>
      </c>
      <c r="R58" s="43">
        <v>-0.53346099999999996</v>
      </c>
      <c r="S58" s="43">
        <v>0.87736499999999995</v>
      </c>
      <c r="T58" s="43">
        <v>1</v>
      </c>
      <c r="U58" s="43">
        <v>111</v>
      </c>
      <c r="V58" s="44">
        <v>111</v>
      </c>
      <c r="W58" s="49" t="str">
        <f t="shared" si="2"/>
        <v>NIE</v>
      </c>
    </row>
    <row r="59" spans="1:23" x14ac:dyDescent="0.3">
      <c r="A59" s="65"/>
      <c r="B59" s="24">
        <v>57</v>
      </c>
      <c r="C59" s="40">
        <v>1.1274489999999999</v>
      </c>
      <c r="D59" s="41">
        <v>1.5830850000000001</v>
      </c>
      <c r="E59" s="42">
        <v>-4.37E-4</v>
      </c>
      <c r="F59" s="43">
        <v>1.0560000000000001E-3</v>
      </c>
      <c r="G59" s="43">
        <v>9.9999999999999995E-7</v>
      </c>
      <c r="H59" s="43">
        <v>1</v>
      </c>
      <c r="I59" s="44">
        <v>77</v>
      </c>
      <c r="J59" s="49" t="str">
        <f t="shared" si="0"/>
        <v>TAK</v>
      </c>
      <c r="K59" s="42">
        <v>-2.5000000000000001E-5</v>
      </c>
      <c r="L59" s="42">
        <v>-5.0600000000000005E-4</v>
      </c>
      <c r="M59" s="42">
        <v>0</v>
      </c>
      <c r="N59" s="43">
        <v>1</v>
      </c>
      <c r="O59" s="44">
        <v>59</v>
      </c>
      <c r="P59" s="49" t="str">
        <f t="shared" si="1"/>
        <v>TAK</v>
      </c>
      <c r="Q59" s="40">
        <v>1.0705929999999999</v>
      </c>
      <c r="R59" s="43">
        <v>-0.53339199999999998</v>
      </c>
      <c r="S59" s="43">
        <v>0.87736499999999995</v>
      </c>
      <c r="T59" s="43">
        <v>1</v>
      </c>
      <c r="U59" s="43">
        <v>137</v>
      </c>
      <c r="V59" s="44">
        <v>137</v>
      </c>
      <c r="W59" s="49" t="str">
        <f t="shared" si="2"/>
        <v>NIE</v>
      </c>
    </row>
    <row r="60" spans="1:23" x14ac:dyDescent="0.3">
      <c r="A60" s="65"/>
      <c r="B60" s="24">
        <v>58</v>
      </c>
      <c r="C60" s="40">
        <v>1.795542</v>
      </c>
      <c r="D60" s="41">
        <v>1.4243790000000001</v>
      </c>
      <c r="E60" s="42">
        <v>1.747465</v>
      </c>
      <c r="F60" s="43">
        <v>-0.87287700000000001</v>
      </c>
      <c r="G60" s="43">
        <v>0.29863899999999999</v>
      </c>
      <c r="H60" s="43">
        <v>1</v>
      </c>
      <c r="I60" s="44">
        <v>79</v>
      </c>
      <c r="J60" s="49" t="str">
        <f t="shared" si="0"/>
        <v>NIE</v>
      </c>
      <c r="K60" s="42">
        <v>1.7477130000000001</v>
      </c>
      <c r="L60" s="42">
        <v>-0.87472300000000003</v>
      </c>
      <c r="M60" s="42">
        <v>0.29863899999999999</v>
      </c>
      <c r="N60" s="43">
        <v>1</v>
      </c>
      <c r="O60" s="44">
        <v>80</v>
      </c>
      <c r="P60" s="49" t="str">
        <f t="shared" si="1"/>
        <v>NIE</v>
      </c>
      <c r="Q60" s="40">
        <v>1.7475959999999999</v>
      </c>
      <c r="R60" s="43">
        <v>-0.87193799999999999</v>
      </c>
      <c r="S60" s="43">
        <v>0.29864200000000002</v>
      </c>
      <c r="T60" s="43">
        <v>1</v>
      </c>
      <c r="U60" s="43">
        <v>139</v>
      </c>
      <c r="V60" s="44">
        <v>139</v>
      </c>
      <c r="W60" s="49" t="str">
        <f t="shared" si="2"/>
        <v>NIE</v>
      </c>
    </row>
    <row r="61" spans="1:23" x14ac:dyDescent="0.3">
      <c r="A61" s="65"/>
      <c r="B61" s="24">
        <v>59</v>
      </c>
      <c r="C61" s="40">
        <v>0.78995700000000002</v>
      </c>
      <c r="D61" s="41">
        <v>1.430876</v>
      </c>
      <c r="E61" s="42">
        <v>-4.1100000000000002E-4</v>
      </c>
      <c r="F61" s="43">
        <v>9.9200000000000004E-4</v>
      </c>
      <c r="G61" s="43">
        <v>9.9999999999999995E-7</v>
      </c>
      <c r="H61" s="43">
        <v>1</v>
      </c>
      <c r="I61" s="44">
        <v>82</v>
      </c>
      <c r="J61" s="49" t="str">
        <f t="shared" si="0"/>
        <v>TAK</v>
      </c>
      <c r="K61" s="42">
        <v>-8.5000000000000006E-5</v>
      </c>
      <c r="L61" s="42">
        <v>7.3399999999999995E-4</v>
      </c>
      <c r="M61" s="42">
        <v>0</v>
      </c>
      <c r="N61" s="43">
        <v>1</v>
      </c>
      <c r="O61" s="44">
        <v>68</v>
      </c>
      <c r="P61" s="49" t="str">
        <f t="shared" si="1"/>
        <v>TAK</v>
      </c>
      <c r="Q61" s="40">
        <v>1.0703320000000001</v>
      </c>
      <c r="R61" s="43">
        <v>-0.53346000000000005</v>
      </c>
      <c r="S61" s="43">
        <v>0.87736400000000003</v>
      </c>
      <c r="T61" s="43">
        <v>1</v>
      </c>
      <c r="U61" s="43">
        <v>136</v>
      </c>
      <c r="V61" s="44">
        <v>136</v>
      </c>
      <c r="W61" s="49" t="str">
        <f t="shared" si="2"/>
        <v>NIE</v>
      </c>
    </row>
    <row r="62" spans="1:23" x14ac:dyDescent="0.3">
      <c r="A62" s="65"/>
      <c r="B62" s="24">
        <v>60</v>
      </c>
      <c r="C62" s="40">
        <v>0.82967100000000005</v>
      </c>
      <c r="D62" s="41">
        <v>1.5298689999999999</v>
      </c>
      <c r="E62" s="42">
        <v>-4.3800000000000002E-4</v>
      </c>
      <c r="F62" s="43">
        <v>1.0579999999999999E-3</v>
      </c>
      <c r="G62" s="43">
        <v>9.9999999999999995E-7</v>
      </c>
      <c r="H62" s="43">
        <v>1</v>
      </c>
      <c r="I62" s="44">
        <v>82</v>
      </c>
      <c r="J62" s="49" t="str">
        <f t="shared" si="0"/>
        <v>TAK</v>
      </c>
      <c r="K62" s="42">
        <v>-8.5000000000000006E-5</v>
      </c>
      <c r="L62" s="42">
        <v>7.7300000000000003E-4</v>
      </c>
      <c r="M62" s="42">
        <v>9.9999999999999995E-7</v>
      </c>
      <c r="N62" s="43">
        <v>1</v>
      </c>
      <c r="O62" s="44">
        <v>68</v>
      </c>
      <c r="P62" s="49" t="str">
        <f t="shared" si="1"/>
        <v>TAK</v>
      </c>
      <c r="Q62" s="40">
        <v>1.070362</v>
      </c>
      <c r="R62" s="43">
        <v>-0.53345500000000001</v>
      </c>
      <c r="S62" s="43">
        <v>0.87736400000000003</v>
      </c>
      <c r="T62" s="43">
        <v>1</v>
      </c>
      <c r="U62" s="43">
        <v>137</v>
      </c>
      <c r="V62" s="44">
        <v>137</v>
      </c>
      <c r="W62" s="49" t="str">
        <f t="shared" si="2"/>
        <v>NIE</v>
      </c>
    </row>
    <row r="63" spans="1:23" x14ac:dyDescent="0.3">
      <c r="A63" s="65"/>
      <c r="B63" s="24">
        <v>61</v>
      </c>
      <c r="C63" s="40">
        <v>1.4369460000000001</v>
      </c>
      <c r="D63" s="41">
        <v>0.30357299999999998</v>
      </c>
      <c r="E63" s="42">
        <v>1.747466</v>
      </c>
      <c r="F63" s="43">
        <v>-0.87289600000000001</v>
      </c>
      <c r="G63" s="43">
        <v>0.29863899999999999</v>
      </c>
      <c r="H63" s="43">
        <v>1</v>
      </c>
      <c r="I63" s="44">
        <v>73</v>
      </c>
      <c r="J63" s="49" t="str">
        <f t="shared" si="0"/>
        <v>NIE</v>
      </c>
      <c r="K63" s="42">
        <v>1.7474529999999999</v>
      </c>
      <c r="L63" s="42">
        <v>-0.87300500000000003</v>
      </c>
      <c r="M63" s="42">
        <v>0.29863899999999999</v>
      </c>
      <c r="N63" s="43">
        <v>1</v>
      </c>
      <c r="O63" s="44">
        <v>62</v>
      </c>
      <c r="P63" s="49" t="str">
        <f t="shared" si="1"/>
        <v>NIE</v>
      </c>
      <c r="Q63" s="40">
        <v>1.0711189999999999</v>
      </c>
      <c r="R63" s="43">
        <v>-0.53349899999999995</v>
      </c>
      <c r="S63" s="43">
        <v>0.87736499999999995</v>
      </c>
      <c r="T63" s="43">
        <v>1</v>
      </c>
      <c r="U63" s="43">
        <v>121</v>
      </c>
      <c r="V63" s="44">
        <v>121</v>
      </c>
      <c r="W63" s="49" t="str">
        <f t="shared" si="2"/>
        <v>NIE</v>
      </c>
    </row>
    <row r="64" spans="1:23" x14ac:dyDescent="0.3">
      <c r="A64" s="65"/>
      <c r="B64" s="24">
        <v>62</v>
      </c>
      <c r="C64" s="40">
        <v>0.42558699999999999</v>
      </c>
      <c r="D64" s="41">
        <v>0.849912</v>
      </c>
      <c r="E64" s="42">
        <v>-4.4000000000000002E-4</v>
      </c>
      <c r="F64" s="43">
        <v>1.0610000000000001E-3</v>
      </c>
      <c r="G64" s="43">
        <v>9.9999999999999995E-7</v>
      </c>
      <c r="H64" s="43">
        <v>1</v>
      </c>
      <c r="I64" s="44">
        <v>76</v>
      </c>
      <c r="J64" s="49" t="str">
        <f t="shared" si="0"/>
        <v>TAK</v>
      </c>
      <c r="K64" s="42">
        <v>-5.5000000000000002E-5</v>
      </c>
      <c r="L64" s="42">
        <v>6.8999999999999997E-4</v>
      </c>
      <c r="M64" s="42">
        <v>0</v>
      </c>
      <c r="N64" s="43">
        <v>1</v>
      </c>
      <c r="O64" s="44">
        <v>65</v>
      </c>
      <c r="P64" s="49" t="str">
        <f t="shared" si="1"/>
        <v>TAK</v>
      </c>
      <c r="Q64" s="40">
        <v>6.29E-4</v>
      </c>
      <c r="R64" s="43">
        <v>1.7210000000000001E-3</v>
      </c>
      <c r="S64" s="43">
        <v>5.0000000000000004E-6</v>
      </c>
      <c r="T64" s="43">
        <v>1</v>
      </c>
      <c r="U64" s="43">
        <v>122</v>
      </c>
      <c r="V64" s="44">
        <v>122</v>
      </c>
      <c r="W64" s="49" t="str">
        <f t="shared" si="2"/>
        <v>TAK</v>
      </c>
    </row>
    <row r="65" spans="1:23" x14ac:dyDescent="0.3">
      <c r="A65" s="65"/>
      <c r="B65" s="24">
        <v>63</v>
      </c>
      <c r="C65" s="40">
        <v>1.602166</v>
      </c>
      <c r="D65" s="41">
        <v>0.67456499999999997</v>
      </c>
      <c r="E65" s="42">
        <v>1.747465</v>
      </c>
      <c r="F65" s="43">
        <v>-0.87287899999999996</v>
      </c>
      <c r="G65" s="43">
        <v>0.29863899999999999</v>
      </c>
      <c r="H65" s="43">
        <v>1</v>
      </c>
      <c r="I65" s="44">
        <v>75</v>
      </c>
      <c r="J65" s="49" t="str">
        <f t="shared" si="0"/>
        <v>NIE</v>
      </c>
      <c r="K65" s="42">
        <v>1.747452</v>
      </c>
      <c r="L65" s="42">
        <v>-0.873031</v>
      </c>
      <c r="M65" s="42">
        <v>0.29863899999999999</v>
      </c>
      <c r="N65" s="43">
        <v>1</v>
      </c>
      <c r="O65" s="44">
        <v>65</v>
      </c>
      <c r="P65" s="49" t="str">
        <f t="shared" si="1"/>
        <v>NIE</v>
      </c>
      <c r="Q65" s="40">
        <v>1.747441</v>
      </c>
      <c r="R65" s="43">
        <v>-0.87193900000000002</v>
      </c>
      <c r="S65" s="43">
        <v>0.29864200000000002</v>
      </c>
      <c r="T65" s="43">
        <v>1</v>
      </c>
      <c r="U65" s="43">
        <v>131</v>
      </c>
      <c r="V65" s="44">
        <v>131</v>
      </c>
      <c r="W65" s="49" t="str">
        <f t="shared" si="2"/>
        <v>NIE</v>
      </c>
    </row>
    <row r="66" spans="1:23" x14ac:dyDescent="0.3">
      <c r="A66" s="65"/>
      <c r="B66" s="24">
        <v>64</v>
      </c>
      <c r="C66" s="40">
        <v>0.58901499999999996</v>
      </c>
      <c r="D66" s="41">
        <v>1.539917</v>
      </c>
      <c r="E66" s="42">
        <v>-4.3600000000000003E-4</v>
      </c>
      <c r="F66" s="43">
        <v>1.052E-3</v>
      </c>
      <c r="G66" s="43">
        <v>9.9999999999999995E-7</v>
      </c>
      <c r="H66" s="43">
        <v>1</v>
      </c>
      <c r="I66" s="44">
        <v>84</v>
      </c>
      <c r="J66" s="49" t="str">
        <f t="shared" si="0"/>
        <v>TAK</v>
      </c>
      <c r="K66" s="42">
        <v>-1.7699999999999999E-4</v>
      </c>
      <c r="L66" s="42">
        <v>8.5800000000000004E-4</v>
      </c>
      <c r="M66" s="42">
        <v>9.9999999999999995E-7</v>
      </c>
      <c r="N66" s="43">
        <v>1</v>
      </c>
      <c r="O66" s="44">
        <v>68</v>
      </c>
      <c r="P66" s="49" t="str">
        <f t="shared" si="1"/>
        <v>TAK</v>
      </c>
      <c r="Q66" s="40">
        <v>1.0703400000000001</v>
      </c>
      <c r="R66" s="43">
        <v>-0.53345600000000004</v>
      </c>
      <c r="S66" s="43">
        <v>0.87736400000000003</v>
      </c>
      <c r="T66" s="43">
        <v>1</v>
      </c>
      <c r="U66" s="43">
        <v>136</v>
      </c>
      <c r="V66" s="44">
        <v>136</v>
      </c>
      <c r="W66" s="49" t="str">
        <f t="shared" si="2"/>
        <v>NIE</v>
      </c>
    </row>
    <row r="67" spans="1:23" x14ac:dyDescent="0.3">
      <c r="A67" s="65"/>
      <c r="B67" s="24">
        <v>65</v>
      </c>
      <c r="C67" s="40">
        <v>0.459393</v>
      </c>
      <c r="D67" s="41">
        <v>1.4929220000000001</v>
      </c>
      <c r="E67" s="42">
        <v>-4.44E-4</v>
      </c>
      <c r="F67" s="43">
        <v>1.073E-3</v>
      </c>
      <c r="G67" s="43">
        <v>9.9999999999999995E-7</v>
      </c>
      <c r="H67" s="43">
        <v>1</v>
      </c>
      <c r="I67" s="44">
        <v>84</v>
      </c>
      <c r="J67" s="49" t="str">
        <f t="shared" ref="J67:J130" si="3">IF(ABS(G67) &lt; 0.01,"TAK","NIE")</f>
        <v>TAK</v>
      </c>
      <c r="K67" s="42">
        <v>-2.1599999999999999E-4</v>
      </c>
      <c r="L67" s="42">
        <v>8.6200000000000003E-4</v>
      </c>
      <c r="M67" s="42">
        <v>9.9999999999999995E-7</v>
      </c>
      <c r="N67" s="43">
        <v>1</v>
      </c>
      <c r="O67" s="44">
        <v>68</v>
      </c>
      <c r="P67" s="49" t="str">
        <f t="shared" ref="P67:P130" si="4">IF(ABS(M67) &lt; 0.01,"TAK","NIE")</f>
        <v>TAK</v>
      </c>
      <c r="Q67" s="40">
        <v>3.86E-4</v>
      </c>
      <c r="R67" s="43">
        <v>1.7819999999999999E-3</v>
      </c>
      <c r="S67" s="43">
        <v>3.9999999999999998E-6</v>
      </c>
      <c r="T67" s="43">
        <v>1</v>
      </c>
      <c r="U67" s="43">
        <v>132</v>
      </c>
      <c r="V67" s="44">
        <v>132</v>
      </c>
      <c r="W67" s="49" t="str">
        <f t="shared" ref="W67:W130" si="5">IF(ABS(S67) &lt; 0.01,"TAK","NIE")</f>
        <v>TAK</v>
      </c>
    </row>
    <row r="68" spans="1:23" x14ac:dyDescent="0.3">
      <c r="A68" s="65"/>
      <c r="B68" s="24">
        <v>66</v>
      </c>
      <c r="C68" s="40">
        <v>0.12664900000000001</v>
      </c>
      <c r="D68" s="41">
        <v>1.0216179999999999</v>
      </c>
      <c r="E68" s="42">
        <v>-4.2700000000000002E-4</v>
      </c>
      <c r="F68" s="43">
        <v>1.031E-3</v>
      </c>
      <c r="G68" s="43">
        <v>9.9999999999999995E-7</v>
      </c>
      <c r="H68" s="43">
        <v>1</v>
      </c>
      <c r="I68" s="44">
        <v>81</v>
      </c>
      <c r="J68" s="49" t="str">
        <f t="shared" si="3"/>
        <v>TAK</v>
      </c>
      <c r="K68" s="42">
        <v>-3.2699999999999998E-4</v>
      </c>
      <c r="L68" s="42">
        <v>9.68E-4</v>
      </c>
      <c r="M68" s="42">
        <v>9.9999999999999995E-7</v>
      </c>
      <c r="N68" s="43">
        <v>1</v>
      </c>
      <c r="O68" s="44">
        <v>65</v>
      </c>
      <c r="P68" s="49" t="str">
        <f t="shared" si="4"/>
        <v>TAK</v>
      </c>
      <c r="Q68" s="40">
        <v>2.2599999999999999E-4</v>
      </c>
      <c r="R68" s="43">
        <v>1.861E-3</v>
      </c>
      <c r="S68" s="43">
        <v>3.9999999999999998E-6</v>
      </c>
      <c r="T68" s="43">
        <v>1</v>
      </c>
      <c r="U68" s="43">
        <v>123</v>
      </c>
      <c r="V68" s="44">
        <v>123</v>
      </c>
      <c r="W68" s="49" t="str">
        <f t="shared" si="5"/>
        <v>TAK</v>
      </c>
    </row>
    <row r="69" spans="1:23" x14ac:dyDescent="0.3">
      <c r="A69" s="65"/>
      <c r="B69" s="24">
        <v>67</v>
      </c>
      <c r="C69" s="40">
        <v>1.9327859999999999</v>
      </c>
      <c r="D69" s="41">
        <v>1.653376</v>
      </c>
      <c r="E69" s="42">
        <v>1.7474639999999999</v>
      </c>
      <c r="F69" s="43">
        <v>-0.87286699999999995</v>
      </c>
      <c r="G69" s="43">
        <v>0.29863899999999999</v>
      </c>
      <c r="H69" s="43">
        <v>1</v>
      </c>
      <c r="I69" s="44">
        <v>80</v>
      </c>
      <c r="J69" s="49" t="str">
        <f t="shared" si="3"/>
        <v>NIE</v>
      </c>
      <c r="K69" s="42" t="s">
        <v>22</v>
      </c>
      <c r="L69" s="42" t="s">
        <v>22</v>
      </c>
      <c r="M69" s="42" t="s">
        <v>22</v>
      </c>
      <c r="N69" s="43">
        <v>1</v>
      </c>
      <c r="O69" s="44">
        <v>52</v>
      </c>
      <c r="P69" s="49" t="e">
        <f t="shared" si="4"/>
        <v>#VALUE!</v>
      </c>
      <c r="Q69" s="40">
        <v>1.7477799999999999</v>
      </c>
      <c r="R69" s="43">
        <v>-0.87189700000000003</v>
      </c>
      <c r="S69" s="43">
        <v>0.29864299999999999</v>
      </c>
      <c r="T69" s="43">
        <v>1</v>
      </c>
      <c r="U69" s="43">
        <v>140</v>
      </c>
      <c r="V69" s="44">
        <v>140</v>
      </c>
      <c r="W69" s="49" t="str">
        <f t="shared" si="5"/>
        <v>NIE</v>
      </c>
    </row>
    <row r="70" spans="1:23" x14ac:dyDescent="0.3">
      <c r="A70" s="65"/>
      <c r="B70" s="24">
        <v>68</v>
      </c>
      <c r="C70" s="40">
        <v>1.645019</v>
      </c>
      <c r="D70" s="41">
        <v>1.506596</v>
      </c>
      <c r="E70" s="42">
        <v>1.7474670000000001</v>
      </c>
      <c r="F70" s="43">
        <v>-0.87290500000000004</v>
      </c>
      <c r="G70" s="43">
        <v>0.29863899999999999</v>
      </c>
      <c r="H70" s="43">
        <v>1</v>
      </c>
      <c r="I70" s="44">
        <v>80</v>
      </c>
      <c r="J70" s="49" t="str">
        <f t="shared" si="3"/>
        <v>NIE</v>
      </c>
      <c r="K70" s="42">
        <v>1.7476050000000001</v>
      </c>
      <c r="L70" s="42">
        <v>-0.87495599999999996</v>
      </c>
      <c r="M70" s="42">
        <v>0.29864000000000002</v>
      </c>
      <c r="N70" s="43">
        <v>1</v>
      </c>
      <c r="O70" s="44">
        <v>68</v>
      </c>
      <c r="P70" s="49" t="str">
        <f t="shared" si="4"/>
        <v>NIE</v>
      </c>
      <c r="Q70" s="40">
        <v>1.747492</v>
      </c>
      <c r="R70" s="43">
        <v>-0.87188100000000002</v>
      </c>
      <c r="S70" s="43">
        <v>0.29864200000000002</v>
      </c>
      <c r="T70" s="43">
        <v>1</v>
      </c>
      <c r="U70" s="43">
        <v>139</v>
      </c>
      <c r="V70" s="44">
        <v>139</v>
      </c>
      <c r="W70" s="49" t="str">
        <f t="shared" si="5"/>
        <v>NIE</v>
      </c>
    </row>
    <row r="71" spans="1:23" x14ac:dyDescent="0.3">
      <c r="A71" s="65"/>
      <c r="B71" s="24">
        <v>69</v>
      </c>
      <c r="C71" s="40">
        <v>1.971681</v>
      </c>
      <c r="D71" s="41">
        <v>1.847262</v>
      </c>
      <c r="E71" s="42">
        <v>1.747463</v>
      </c>
      <c r="F71" s="43">
        <v>-0.87286200000000003</v>
      </c>
      <c r="G71" s="43">
        <v>0.29863899999999999</v>
      </c>
      <c r="H71" s="43">
        <v>1</v>
      </c>
      <c r="I71" s="44">
        <v>81</v>
      </c>
      <c r="J71" s="49" t="str">
        <f t="shared" si="3"/>
        <v>NIE</v>
      </c>
      <c r="K71" s="42" t="s">
        <v>22</v>
      </c>
      <c r="L71" s="42" t="s">
        <v>22</v>
      </c>
      <c r="M71" s="42" t="s">
        <v>22</v>
      </c>
      <c r="N71" s="43">
        <v>1</v>
      </c>
      <c r="O71" s="44">
        <v>49</v>
      </c>
      <c r="P71" s="49" t="e">
        <f t="shared" si="4"/>
        <v>#VALUE!</v>
      </c>
      <c r="Q71" s="40">
        <v>1.747824</v>
      </c>
      <c r="R71" s="43">
        <v>-0.87196700000000005</v>
      </c>
      <c r="S71" s="43">
        <v>0.29864299999999999</v>
      </c>
      <c r="T71" s="43">
        <v>1</v>
      </c>
      <c r="U71" s="43">
        <v>142</v>
      </c>
      <c r="V71" s="44">
        <v>142</v>
      </c>
      <c r="W71" s="49" t="str">
        <f t="shared" si="5"/>
        <v>NIE</v>
      </c>
    </row>
    <row r="72" spans="1:23" x14ac:dyDescent="0.3">
      <c r="A72" s="65"/>
      <c r="B72" s="24">
        <v>70</v>
      </c>
      <c r="C72" s="40">
        <v>1.4852460000000001</v>
      </c>
      <c r="D72" s="41">
        <v>1.1536930000000001</v>
      </c>
      <c r="E72" s="42">
        <v>1.7474689999999999</v>
      </c>
      <c r="F72" s="43">
        <v>-0.87291799999999997</v>
      </c>
      <c r="G72" s="43">
        <v>0.29863899999999999</v>
      </c>
      <c r="H72" s="43">
        <v>1</v>
      </c>
      <c r="I72" s="44">
        <v>79</v>
      </c>
      <c r="J72" s="49" t="str">
        <f t="shared" si="3"/>
        <v>NIE</v>
      </c>
      <c r="K72" s="42">
        <v>1.7476160000000001</v>
      </c>
      <c r="L72" s="42">
        <v>-0.87464900000000001</v>
      </c>
      <c r="M72" s="42">
        <v>0.29863899999999999</v>
      </c>
      <c r="N72" s="43">
        <v>1</v>
      </c>
      <c r="O72" s="44">
        <v>56</v>
      </c>
      <c r="P72" s="49" t="str">
        <f t="shared" si="4"/>
        <v>NIE</v>
      </c>
      <c r="Q72" s="40">
        <v>1.749263</v>
      </c>
      <c r="R72" s="43">
        <v>-0.87450799999999995</v>
      </c>
      <c r="S72" s="43">
        <v>0.29865599999999998</v>
      </c>
      <c r="T72" s="43">
        <v>1</v>
      </c>
      <c r="U72" s="43">
        <v>188</v>
      </c>
      <c r="V72" s="44">
        <v>188</v>
      </c>
      <c r="W72" s="49" t="str">
        <f t="shared" si="5"/>
        <v>NIE</v>
      </c>
    </row>
    <row r="73" spans="1:23" x14ac:dyDescent="0.3">
      <c r="A73" s="65"/>
      <c r="B73" s="24">
        <v>71</v>
      </c>
      <c r="C73" s="40">
        <v>2.9000999999999999E-2</v>
      </c>
      <c r="D73" s="41">
        <v>1.7811429999999999</v>
      </c>
      <c r="E73" s="42">
        <v>-4.0999999999999999E-4</v>
      </c>
      <c r="F73" s="43">
        <v>9.8900000000000008E-4</v>
      </c>
      <c r="G73" s="43">
        <v>9.9999999999999995E-7</v>
      </c>
      <c r="H73" s="43">
        <v>1</v>
      </c>
      <c r="I73" s="44">
        <v>89</v>
      </c>
      <c r="J73" s="49" t="str">
        <f t="shared" si="3"/>
        <v>TAK</v>
      </c>
      <c r="K73" s="42">
        <v>-4.0400000000000001E-4</v>
      </c>
      <c r="L73" s="42">
        <v>1.0679999999999999E-3</v>
      </c>
      <c r="M73" s="42">
        <v>9.9999999999999995E-7</v>
      </c>
      <c r="N73" s="43">
        <v>1</v>
      </c>
      <c r="O73" s="44">
        <v>68</v>
      </c>
      <c r="P73" s="49" t="str">
        <f t="shared" si="4"/>
        <v>TAK</v>
      </c>
      <c r="Q73" s="40">
        <v>3.0000000000000001E-5</v>
      </c>
      <c r="R73" s="43">
        <v>1.8439999999999999E-3</v>
      </c>
      <c r="S73" s="43">
        <v>3.0000000000000001E-6</v>
      </c>
      <c r="T73" s="43">
        <v>1</v>
      </c>
      <c r="U73" s="43">
        <v>134</v>
      </c>
      <c r="V73" s="44">
        <v>134</v>
      </c>
      <c r="W73" s="49" t="str">
        <f t="shared" si="5"/>
        <v>TAK</v>
      </c>
    </row>
    <row r="74" spans="1:23" x14ac:dyDescent="0.3">
      <c r="A74" s="65"/>
      <c r="B74" s="24">
        <v>72</v>
      </c>
      <c r="C74" s="40">
        <v>1.535058</v>
      </c>
      <c r="D74" s="41">
        <v>1.828519</v>
      </c>
      <c r="E74" s="42">
        <v>1.7474639999999999</v>
      </c>
      <c r="F74" s="43">
        <v>-0.87286699999999995</v>
      </c>
      <c r="G74" s="43">
        <v>0.29863899999999999</v>
      </c>
      <c r="H74" s="43">
        <v>1</v>
      </c>
      <c r="I74" s="44">
        <v>84</v>
      </c>
      <c r="J74" s="49" t="str">
        <f t="shared" si="3"/>
        <v>NIE</v>
      </c>
      <c r="K74" s="42" t="s">
        <v>22</v>
      </c>
      <c r="L74" s="42" t="s">
        <v>22</v>
      </c>
      <c r="M74" s="42" t="s">
        <v>22</v>
      </c>
      <c r="N74" s="43">
        <v>1</v>
      </c>
      <c r="O74" s="44">
        <v>55</v>
      </c>
      <c r="P74" s="49" t="e">
        <f t="shared" si="4"/>
        <v>#VALUE!</v>
      </c>
      <c r="Q74" s="40">
        <v>1.7474810000000001</v>
      </c>
      <c r="R74" s="43">
        <v>-0.87195800000000001</v>
      </c>
      <c r="S74" s="43">
        <v>0.29864200000000002</v>
      </c>
      <c r="T74" s="43">
        <v>1</v>
      </c>
      <c r="U74" s="43">
        <v>142</v>
      </c>
      <c r="V74" s="44">
        <v>142</v>
      </c>
      <c r="W74" s="49" t="str">
        <f t="shared" si="5"/>
        <v>NIE</v>
      </c>
    </row>
    <row r="75" spans="1:23" x14ac:dyDescent="0.3">
      <c r="A75" s="65"/>
      <c r="B75" s="24">
        <v>73</v>
      </c>
      <c r="C75" s="40">
        <v>0.60443599999999997</v>
      </c>
      <c r="D75" s="41">
        <v>1.8809959999999999</v>
      </c>
      <c r="E75" s="42">
        <v>-4.3100000000000001E-4</v>
      </c>
      <c r="F75" s="43">
        <v>1.041E-3</v>
      </c>
      <c r="G75" s="43">
        <v>9.9999999999999995E-7</v>
      </c>
      <c r="H75" s="43">
        <v>1</v>
      </c>
      <c r="I75" s="44">
        <v>87</v>
      </c>
      <c r="J75" s="49" t="str">
        <f t="shared" si="3"/>
        <v>TAK</v>
      </c>
      <c r="K75" s="42">
        <v>-1.7000000000000001E-4</v>
      </c>
      <c r="L75" s="42">
        <v>9.7400000000000004E-4</v>
      </c>
      <c r="M75" s="42">
        <v>9.9999999999999995E-7</v>
      </c>
      <c r="N75" s="43">
        <v>1</v>
      </c>
      <c r="O75" s="44">
        <v>68</v>
      </c>
      <c r="P75" s="49" t="str">
        <f t="shared" si="4"/>
        <v>TAK</v>
      </c>
      <c r="Q75" s="40">
        <v>1.070336</v>
      </c>
      <c r="R75" s="43">
        <v>-0.53342000000000001</v>
      </c>
      <c r="S75" s="43">
        <v>0.87736499999999995</v>
      </c>
      <c r="T75" s="43">
        <v>1</v>
      </c>
      <c r="U75" s="43">
        <v>139</v>
      </c>
      <c r="V75" s="44">
        <v>139</v>
      </c>
      <c r="W75" s="49" t="str">
        <f t="shared" si="5"/>
        <v>NIE</v>
      </c>
    </row>
    <row r="76" spans="1:23" x14ac:dyDescent="0.3">
      <c r="A76" s="65"/>
      <c r="B76" s="24">
        <v>74</v>
      </c>
      <c r="C76" s="40">
        <v>1.3370390000000001</v>
      </c>
      <c r="D76" s="41">
        <v>1.8028789999999999</v>
      </c>
      <c r="E76" s="42">
        <v>-4.3899999999999999E-4</v>
      </c>
      <c r="F76" s="43">
        <v>1.0660000000000001E-3</v>
      </c>
      <c r="G76" s="43">
        <v>9.9999999999999995E-7</v>
      </c>
      <c r="H76" s="43">
        <v>1</v>
      </c>
      <c r="I76" s="44">
        <v>61</v>
      </c>
      <c r="J76" s="49" t="str">
        <f t="shared" si="3"/>
        <v>TAK</v>
      </c>
      <c r="K76" s="42">
        <v>4.6500000000000003E-4</v>
      </c>
      <c r="L76" s="42">
        <v>-2.3699999999999999E-4</v>
      </c>
      <c r="M76" s="42">
        <v>0</v>
      </c>
      <c r="N76" s="43">
        <v>1</v>
      </c>
      <c r="O76" s="44">
        <v>128</v>
      </c>
      <c r="P76" s="49" t="str">
        <f t="shared" si="4"/>
        <v>TAK</v>
      </c>
      <c r="Q76" s="40">
        <v>1.0707390000000001</v>
      </c>
      <c r="R76" s="43">
        <v>-0.53339000000000003</v>
      </c>
      <c r="S76" s="43">
        <v>0.87736499999999995</v>
      </c>
      <c r="T76" s="43">
        <v>1</v>
      </c>
      <c r="U76" s="43">
        <v>139</v>
      </c>
      <c r="V76" s="44">
        <v>139</v>
      </c>
      <c r="W76" s="49" t="str">
        <f t="shared" si="5"/>
        <v>NIE</v>
      </c>
    </row>
    <row r="77" spans="1:23" x14ac:dyDescent="0.3">
      <c r="A77" s="65"/>
      <c r="B77" s="24">
        <v>75</v>
      </c>
      <c r="C77" s="40">
        <v>1.841062</v>
      </c>
      <c r="D77" s="41">
        <v>0.98397299999999999</v>
      </c>
      <c r="E77" s="42">
        <v>1.747468</v>
      </c>
      <c r="F77" s="43">
        <v>-0.87291099999999999</v>
      </c>
      <c r="G77" s="43">
        <v>0.29863899999999999</v>
      </c>
      <c r="H77" s="43">
        <v>1</v>
      </c>
      <c r="I77" s="44">
        <v>77</v>
      </c>
      <c r="J77" s="49" t="str">
        <f t="shared" si="3"/>
        <v>NIE</v>
      </c>
      <c r="K77" s="42">
        <v>1.7474860000000001</v>
      </c>
      <c r="L77" s="42">
        <v>-0.87297000000000002</v>
      </c>
      <c r="M77" s="42">
        <v>0.29863899999999999</v>
      </c>
      <c r="N77" s="43">
        <v>1</v>
      </c>
      <c r="O77" s="44">
        <v>62</v>
      </c>
      <c r="P77" s="49" t="str">
        <f t="shared" si="4"/>
        <v>NIE</v>
      </c>
      <c r="Q77" s="40">
        <v>1.747671</v>
      </c>
      <c r="R77" s="43">
        <v>-0.87196300000000004</v>
      </c>
      <c r="S77" s="43">
        <v>0.29864200000000002</v>
      </c>
      <c r="T77" s="43">
        <v>1</v>
      </c>
      <c r="U77" s="43">
        <v>135</v>
      </c>
      <c r="V77" s="44">
        <v>135</v>
      </c>
      <c r="W77" s="49" t="str">
        <f t="shared" si="5"/>
        <v>NIE</v>
      </c>
    </row>
    <row r="78" spans="1:23" x14ac:dyDescent="0.3">
      <c r="A78" s="65"/>
      <c r="B78" s="24">
        <v>76</v>
      </c>
      <c r="C78" s="40">
        <v>0.80696100000000004</v>
      </c>
      <c r="D78" s="41">
        <v>1.3188299999999999</v>
      </c>
      <c r="E78" s="42">
        <v>-4.2299999999999998E-4</v>
      </c>
      <c r="F78" s="43">
        <v>1.0200000000000001E-3</v>
      </c>
      <c r="G78" s="43">
        <v>9.9999999999999995E-7</v>
      </c>
      <c r="H78" s="43">
        <v>1</v>
      </c>
      <c r="I78" s="44">
        <v>80</v>
      </c>
      <c r="J78" s="49" t="str">
        <f t="shared" si="3"/>
        <v>TAK</v>
      </c>
      <c r="K78" s="42">
        <v>-5.1E-5</v>
      </c>
      <c r="L78" s="42">
        <v>6.5300000000000004E-4</v>
      </c>
      <c r="M78" s="42">
        <v>0</v>
      </c>
      <c r="N78" s="43">
        <v>1</v>
      </c>
      <c r="O78" s="44">
        <v>68</v>
      </c>
      <c r="P78" s="49" t="str">
        <f t="shared" si="4"/>
        <v>TAK</v>
      </c>
      <c r="Q78" s="40">
        <v>1.07033</v>
      </c>
      <c r="R78" s="43">
        <v>-0.53347100000000003</v>
      </c>
      <c r="S78" s="43">
        <v>0.87736400000000003</v>
      </c>
      <c r="T78" s="43">
        <v>1</v>
      </c>
      <c r="U78" s="43">
        <v>135</v>
      </c>
      <c r="V78" s="44">
        <v>135</v>
      </c>
      <c r="W78" s="49" t="str">
        <f t="shared" si="5"/>
        <v>NIE</v>
      </c>
    </row>
    <row r="79" spans="1:23" x14ac:dyDescent="0.3">
      <c r="A79" s="65"/>
      <c r="B79" s="24">
        <v>77</v>
      </c>
      <c r="C79" s="40">
        <v>0.89161900000000005</v>
      </c>
      <c r="D79" s="41">
        <v>0.515123</v>
      </c>
      <c r="E79" s="42">
        <v>4.5399999999999998E-4</v>
      </c>
      <c r="F79" s="43">
        <v>-1.0640000000000001E-3</v>
      </c>
      <c r="G79" s="43">
        <v>9.9999999999999995E-7</v>
      </c>
      <c r="H79" s="43">
        <v>1</v>
      </c>
      <c r="I79" s="44">
        <v>48</v>
      </c>
      <c r="J79" s="49" t="str">
        <f t="shared" si="3"/>
        <v>TAK</v>
      </c>
      <c r="K79" s="42">
        <v>2.5500000000000002E-4</v>
      </c>
      <c r="L79" s="42">
        <v>-1.0139999999999999E-3</v>
      </c>
      <c r="M79" s="42">
        <v>9.9999999999999995E-7</v>
      </c>
      <c r="N79" s="43">
        <v>1</v>
      </c>
      <c r="O79" s="44">
        <v>56</v>
      </c>
      <c r="P79" s="49" t="str">
        <f t="shared" si="4"/>
        <v>TAK</v>
      </c>
      <c r="Q79" s="40">
        <v>1.070265</v>
      </c>
      <c r="R79" s="43">
        <v>-0.53347100000000003</v>
      </c>
      <c r="S79" s="43">
        <v>0.87736400000000003</v>
      </c>
      <c r="T79" s="43">
        <v>1</v>
      </c>
      <c r="U79" s="43">
        <v>124</v>
      </c>
      <c r="V79" s="44">
        <v>124</v>
      </c>
      <c r="W79" s="49" t="str">
        <f t="shared" si="5"/>
        <v>NIE</v>
      </c>
    </row>
    <row r="80" spans="1:23" x14ac:dyDescent="0.3">
      <c r="A80" s="65"/>
      <c r="B80" s="24">
        <v>78</v>
      </c>
      <c r="C80" s="40">
        <v>0.38024799999999997</v>
      </c>
      <c r="D80" s="41">
        <v>1.778991</v>
      </c>
      <c r="E80" s="42">
        <v>-4.3600000000000003E-4</v>
      </c>
      <c r="F80" s="43">
        <v>1.054E-3</v>
      </c>
      <c r="G80" s="43">
        <v>9.9999999999999995E-7</v>
      </c>
      <c r="H80" s="43">
        <v>1</v>
      </c>
      <c r="I80" s="44">
        <v>87</v>
      </c>
      <c r="J80" s="49" t="str">
        <f t="shared" si="3"/>
        <v>TAK</v>
      </c>
      <c r="K80" s="42">
        <v>-2.2100000000000001E-4</v>
      </c>
      <c r="L80" s="42">
        <v>9.5299999999999996E-4</v>
      </c>
      <c r="M80" s="42">
        <v>9.9999999999999995E-7</v>
      </c>
      <c r="N80" s="43">
        <v>1</v>
      </c>
      <c r="O80" s="44">
        <v>68</v>
      </c>
      <c r="P80" s="49" t="str">
        <f t="shared" si="4"/>
        <v>TAK</v>
      </c>
      <c r="Q80" s="40">
        <v>3.0600000000000001E-4</v>
      </c>
      <c r="R80" s="43">
        <v>1.7830000000000001E-3</v>
      </c>
      <c r="S80" s="43">
        <v>3.9999999999999998E-6</v>
      </c>
      <c r="T80" s="43">
        <v>1</v>
      </c>
      <c r="U80" s="43">
        <v>135</v>
      </c>
      <c r="V80" s="44">
        <v>135</v>
      </c>
      <c r="W80" s="49" t="str">
        <f t="shared" si="5"/>
        <v>TAK</v>
      </c>
    </row>
    <row r="81" spans="1:23" x14ac:dyDescent="0.3">
      <c r="A81" s="65"/>
      <c r="B81" s="24">
        <v>79</v>
      </c>
      <c r="C81" s="40">
        <v>0.92865399999999998</v>
      </c>
      <c r="D81" s="41">
        <v>0.76078800000000002</v>
      </c>
      <c r="E81" s="42">
        <v>-4.4299999999999998E-4</v>
      </c>
      <c r="F81" s="43">
        <v>1.072E-3</v>
      </c>
      <c r="G81" s="43">
        <v>9.9999999999999995E-7</v>
      </c>
      <c r="H81" s="43">
        <v>1</v>
      </c>
      <c r="I81" s="44">
        <v>58</v>
      </c>
      <c r="J81" s="49" t="str">
        <f t="shared" si="3"/>
        <v>TAK</v>
      </c>
      <c r="K81" s="42">
        <v>3.5100000000000002E-4</v>
      </c>
      <c r="L81" s="42">
        <v>-1.199E-3</v>
      </c>
      <c r="M81" s="42">
        <v>9.9999999999999995E-7</v>
      </c>
      <c r="N81" s="43">
        <v>1</v>
      </c>
      <c r="O81" s="44">
        <v>56</v>
      </c>
      <c r="P81" s="49" t="str">
        <f t="shared" si="4"/>
        <v>TAK</v>
      </c>
      <c r="Q81" s="40">
        <v>1.070357</v>
      </c>
      <c r="R81" s="43">
        <v>-0.53345399999999998</v>
      </c>
      <c r="S81" s="43">
        <v>0.87736400000000003</v>
      </c>
      <c r="T81" s="43">
        <v>1</v>
      </c>
      <c r="U81" s="43">
        <v>128</v>
      </c>
      <c r="V81" s="44">
        <v>128</v>
      </c>
      <c r="W81" s="49" t="str">
        <f t="shared" si="5"/>
        <v>NIE</v>
      </c>
    </row>
    <row r="82" spans="1:23" x14ac:dyDescent="0.3">
      <c r="A82" s="65"/>
      <c r="B82" s="24">
        <v>80</v>
      </c>
      <c r="C82" s="40">
        <v>1.7863739999999999</v>
      </c>
      <c r="D82" s="41">
        <v>1.7263269999999999</v>
      </c>
      <c r="E82" s="42">
        <v>1.74746</v>
      </c>
      <c r="F82" s="43">
        <v>-0.87282999999999999</v>
      </c>
      <c r="G82" s="43">
        <v>0.29863899999999999</v>
      </c>
      <c r="H82" s="43">
        <v>1</v>
      </c>
      <c r="I82" s="44">
        <v>80</v>
      </c>
      <c r="J82" s="49" t="str">
        <f t="shared" si="3"/>
        <v>NIE</v>
      </c>
      <c r="K82" s="42" t="s">
        <v>22</v>
      </c>
      <c r="L82" s="42" t="e" cm="1">
        <f t="array" ref="L82">-inf</f>
        <v>#NAME?</v>
      </c>
      <c r="M82" s="42" t="s">
        <v>22</v>
      </c>
      <c r="N82" s="43">
        <v>1</v>
      </c>
      <c r="O82" s="44">
        <v>46</v>
      </c>
      <c r="P82" s="49" t="e">
        <f t="shared" si="4"/>
        <v>#VALUE!</v>
      </c>
      <c r="Q82" s="40">
        <v>1.747584</v>
      </c>
      <c r="R82" s="43">
        <v>-0.87189799999999995</v>
      </c>
      <c r="S82" s="43">
        <v>0.29864200000000002</v>
      </c>
      <c r="T82" s="43">
        <v>1</v>
      </c>
      <c r="U82" s="43">
        <v>141</v>
      </c>
      <c r="V82" s="44">
        <v>141</v>
      </c>
      <c r="W82" s="49" t="str">
        <f t="shared" si="5"/>
        <v>NIE</v>
      </c>
    </row>
    <row r="83" spans="1:23" x14ac:dyDescent="0.3">
      <c r="A83" s="65"/>
      <c r="B83" s="24">
        <v>81</v>
      </c>
      <c r="C83" s="40">
        <v>0.94719799999999998</v>
      </c>
      <c r="D83" s="41">
        <v>0.42527399999999999</v>
      </c>
      <c r="E83" s="42">
        <v>4.3899999999999999E-4</v>
      </c>
      <c r="F83" s="43">
        <v>-1.0579999999999999E-3</v>
      </c>
      <c r="G83" s="43">
        <v>9.9999999999999995E-7</v>
      </c>
      <c r="H83" s="43">
        <v>1</v>
      </c>
      <c r="I83" s="44">
        <v>65</v>
      </c>
      <c r="J83" s="49" t="str">
        <f t="shared" si="3"/>
        <v>TAK</v>
      </c>
      <c r="K83" s="42">
        <v>1.76E-4</v>
      </c>
      <c r="L83" s="42">
        <v>1.12E-4</v>
      </c>
      <c r="M83" s="42">
        <v>0</v>
      </c>
      <c r="N83" s="43">
        <v>1</v>
      </c>
      <c r="O83" s="44">
        <v>74</v>
      </c>
      <c r="P83" s="49" t="str">
        <f t="shared" si="4"/>
        <v>TAK</v>
      </c>
      <c r="Q83" s="40">
        <v>1.0703199999999999</v>
      </c>
      <c r="R83" s="43">
        <v>-0.53343799999999997</v>
      </c>
      <c r="S83" s="43">
        <v>0.87736400000000003</v>
      </c>
      <c r="T83" s="43">
        <v>1</v>
      </c>
      <c r="U83" s="43">
        <v>122</v>
      </c>
      <c r="V83" s="44">
        <v>122</v>
      </c>
      <c r="W83" s="49" t="str">
        <f t="shared" si="5"/>
        <v>NIE</v>
      </c>
    </row>
    <row r="84" spans="1:23" x14ac:dyDescent="0.3">
      <c r="A84" s="65"/>
      <c r="B84" s="24">
        <v>82</v>
      </c>
      <c r="C84" s="40">
        <v>1.571062</v>
      </c>
      <c r="D84" s="41">
        <v>0.48320099999999999</v>
      </c>
      <c r="E84" s="42">
        <v>1.7474670000000001</v>
      </c>
      <c r="F84" s="43">
        <v>-0.87290500000000004</v>
      </c>
      <c r="G84" s="43">
        <v>0.29863899999999999</v>
      </c>
      <c r="H84" s="43">
        <v>1</v>
      </c>
      <c r="I84" s="44">
        <v>74</v>
      </c>
      <c r="J84" s="49" t="str">
        <f t="shared" si="3"/>
        <v>NIE</v>
      </c>
      <c r="K84" s="42">
        <v>1.7474229999999999</v>
      </c>
      <c r="L84" s="42">
        <v>-0.87278800000000001</v>
      </c>
      <c r="M84" s="42">
        <v>0.29863899999999999</v>
      </c>
      <c r="N84" s="43">
        <v>1</v>
      </c>
      <c r="O84" s="44">
        <v>62</v>
      </c>
      <c r="P84" s="49" t="str">
        <f t="shared" si="4"/>
        <v>NIE</v>
      </c>
      <c r="Q84" s="40">
        <v>1.747411</v>
      </c>
      <c r="R84" s="43">
        <v>-0.871919</v>
      </c>
      <c r="S84" s="43">
        <v>0.29864200000000002</v>
      </c>
      <c r="T84" s="43">
        <v>1</v>
      </c>
      <c r="U84" s="43">
        <v>128</v>
      </c>
      <c r="V84" s="44">
        <v>128</v>
      </c>
      <c r="W84" s="49" t="str">
        <f t="shared" si="5"/>
        <v>NIE</v>
      </c>
    </row>
    <row r="85" spans="1:23" x14ac:dyDescent="0.3">
      <c r="A85" s="65"/>
      <c r="B85" s="24">
        <v>83</v>
      </c>
      <c r="C85" s="40">
        <v>0.69251300000000005</v>
      </c>
      <c r="D85" s="41">
        <v>1.9650669999999999</v>
      </c>
      <c r="E85" s="42">
        <v>-4.3899999999999999E-4</v>
      </c>
      <c r="F85" s="43">
        <v>1.0610000000000001E-3</v>
      </c>
      <c r="G85" s="43">
        <v>9.9999999999999995E-7</v>
      </c>
      <c r="H85" s="43">
        <v>1</v>
      </c>
      <c r="I85" s="44">
        <v>87</v>
      </c>
      <c r="J85" s="49" t="str">
        <f t="shared" si="3"/>
        <v>TAK</v>
      </c>
      <c r="K85" s="42">
        <v>-1.5799999999999999E-4</v>
      </c>
      <c r="L85" s="42">
        <v>1.0039999999999999E-3</v>
      </c>
      <c r="M85" s="42">
        <v>9.9999999999999995E-7</v>
      </c>
      <c r="N85" s="43">
        <v>1</v>
      </c>
      <c r="O85" s="44">
        <v>68</v>
      </c>
      <c r="P85" s="49" t="str">
        <f t="shared" si="4"/>
        <v>TAK</v>
      </c>
      <c r="Q85" s="40">
        <v>1.0703419999999999</v>
      </c>
      <c r="R85" s="43">
        <v>-0.533412</v>
      </c>
      <c r="S85" s="43">
        <v>0.87736499999999995</v>
      </c>
      <c r="T85" s="43">
        <v>1</v>
      </c>
      <c r="U85" s="43">
        <v>140</v>
      </c>
      <c r="V85" s="44">
        <v>140</v>
      </c>
      <c r="W85" s="49" t="str">
        <f t="shared" si="5"/>
        <v>NIE</v>
      </c>
    </row>
    <row r="86" spans="1:23" x14ac:dyDescent="0.3">
      <c r="A86" s="65"/>
      <c r="B86" s="24">
        <v>84</v>
      </c>
      <c r="C86" s="40">
        <v>0.85791300000000004</v>
      </c>
      <c r="D86" s="41">
        <v>0.29842999999999997</v>
      </c>
      <c r="E86" s="42">
        <v>4.2499999999999998E-4</v>
      </c>
      <c r="F86" s="43">
        <v>-1.026E-3</v>
      </c>
      <c r="G86" s="43">
        <v>9.9999999999999995E-7</v>
      </c>
      <c r="H86" s="43">
        <v>1</v>
      </c>
      <c r="I86" s="44">
        <v>65</v>
      </c>
      <c r="J86" s="49" t="str">
        <f t="shared" si="3"/>
        <v>TAK</v>
      </c>
      <c r="K86" s="42">
        <v>-6.0800000000000003E-4</v>
      </c>
      <c r="L86" s="42">
        <v>1.3960000000000001E-3</v>
      </c>
      <c r="M86" s="42">
        <v>1.9999999999999999E-6</v>
      </c>
      <c r="N86" s="43">
        <v>1</v>
      </c>
      <c r="O86" s="44">
        <v>56</v>
      </c>
      <c r="P86" s="49" t="str">
        <f t="shared" si="4"/>
        <v>TAK</v>
      </c>
      <c r="Q86" s="40">
        <v>1.07013</v>
      </c>
      <c r="R86" s="43">
        <v>-0.53344000000000003</v>
      </c>
      <c r="S86" s="43">
        <v>0.87736400000000003</v>
      </c>
      <c r="T86" s="43">
        <v>1</v>
      </c>
      <c r="U86" s="43">
        <v>119</v>
      </c>
      <c r="V86" s="44">
        <v>119</v>
      </c>
      <c r="W86" s="49" t="str">
        <f t="shared" si="5"/>
        <v>NIE</v>
      </c>
    </row>
    <row r="87" spans="1:23" x14ac:dyDescent="0.3">
      <c r="A87" s="65"/>
      <c r="B87" s="24">
        <v>85</v>
      </c>
      <c r="C87" s="40">
        <v>1.8090090000000001</v>
      </c>
      <c r="D87" s="41">
        <v>0.56408800000000003</v>
      </c>
      <c r="E87" s="42">
        <v>1.747465</v>
      </c>
      <c r="F87" s="43">
        <v>-0.87288299999999996</v>
      </c>
      <c r="G87" s="43">
        <v>0.29863899999999999</v>
      </c>
      <c r="H87" s="43">
        <v>1</v>
      </c>
      <c r="I87" s="44">
        <v>74</v>
      </c>
      <c r="J87" s="49" t="str">
        <f t="shared" si="3"/>
        <v>NIE</v>
      </c>
      <c r="K87" s="42">
        <v>1.747385</v>
      </c>
      <c r="L87" s="42">
        <v>-0.87271600000000005</v>
      </c>
      <c r="M87" s="42">
        <v>0.29864000000000002</v>
      </c>
      <c r="N87" s="43">
        <v>1</v>
      </c>
      <c r="O87" s="44">
        <v>62</v>
      </c>
      <c r="P87" s="49" t="str">
        <f t="shared" si="4"/>
        <v>NIE</v>
      </c>
      <c r="Q87" s="40">
        <v>1.7476449999999999</v>
      </c>
      <c r="R87" s="43">
        <v>-0.87195599999999995</v>
      </c>
      <c r="S87" s="43">
        <v>0.29864200000000002</v>
      </c>
      <c r="T87" s="43">
        <v>1</v>
      </c>
      <c r="U87" s="43">
        <v>130</v>
      </c>
      <c r="V87" s="44">
        <v>130</v>
      </c>
      <c r="W87" s="49" t="str">
        <f t="shared" si="5"/>
        <v>NIE</v>
      </c>
    </row>
    <row r="88" spans="1:23" x14ac:dyDescent="0.3">
      <c r="A88" s="65"/>
      <c r="B88" s="24">
        <v>86</v>
      </c>
      <c r="C88" s="40">
        <v>1.0544519999999999</v>
      </c>
      <c r="D88" s="41">
        <v>0.64174399999999998</v>
      </c>
      <c r="E88" s="42">
        <v>4.4000000000000002E-4</v>
      </c>
      <c r="F88" s="43">
        <v>-1.0610000000000001E-3</v>
      </c>
      <c r="G88" s="43">
        <v>9.9999999999999995E-7</v>
      </c>
      <c r="H88" s="43">
        <v>1</v>
      </c>
      <c r="I88" s="44">
        <v>65</v>
      </c>
      <c r="J88" s="49" t="str">
        <f t="shared" si="3"/>
        <v>TAK</v>
      </c>
      <c r="K88" s="42">
        <v>-4.15E-4</v>
      </c>
      <c r="L88" s="42">
        <v>2.5999999999999998E-5</v>
      </c>
      <c r="M88" s="42">
        <v>0</v>
      </c>
      <c r="N88" s="43">
        <v>1</v>
      </c>
      <c r="O88" s="44">
        <v>95</v>
      </c>
      <c r="P88" s="49" t="str">
        <f t="shared" si="4"/>
        <v>TAK</v>
      </c>
      <c r="Q88" s="40">
        <v>1.0705169999999999</v>
      </c>
      <c r="R88" s="43">
        <v>-0.53343499999999999</v>
      </c>
      <c r="S88" s="43">
        <v>0.87736499999999995</v>
      </c>
      <c r="T88" s="43">
        <v>1</v>
      </c>
      <c r="U88" s="43">
        <v>126</v>
      </c>
      <c r="V88" s="44">
        <v>126</v>
      </c>
      <c r="W88" s="49" t="str">
        <f t="shared" si="5"/>
        <v>NIE</v>
      </c>
    </row>
    <row r="89" spans="1:23" x14ac:dyDescent="0.3">
      <c r="A89" s="65"/>
      <c r="B89" s="24">
        <v>87</v>
      </c>
      <c r="C89" s="40">
        <v>0.23191200000000001</v>
      </c>
      <c r="D89" s="41">
        <v>1.8770800000000001</v>
      </c>
      <c r="E89" s="42">
        <v>-4.0999999999999999E-4</v>
      </c>
      <c r="F89" s="43">
        <v>9.8999999999999999E-4</v>
      </c>
      <c r="G89" s="43">
        <v>9.9999999999999995E-7</v>
      </c>
      <c r="H89" s="43">
        <v>1</v>
      </c>
      <c r="I89" s="44">
        <v>89</v>
      </c>
      <c r="J89" s="49" t="str">
        <f t="shared" si="3"/>
        <v>TAK</v>
      </c>
      <c r="K89" s="42">
        <v>-2.33E-4</v>
      </c>
      <c r="L89" s="42">
        <v>9.6699999999999998E-4</v>
      </c>
      <c r="M89" s="42">
        <v>9.9999999999999995E-7</v>
      </c>
      <c r="N89" s="43">
        <v>1</v>
      </c>
      <c r="O89" s="44">
        <v>68</v>
      </c>
      <c r="P89" s="49" t="str">
        <f t="shared" si="4"/>
        <v>TAK</v>
      </c>
      <c r="Q89" s="40">
        <v>2.12E-4</v>
      </c>
      <c r="R89" s="43">
        <v>1.854E-3</v>
      </c>
      <c r="S89" s="43">
        <v>3.9999999999999998E-6</v>
      </c>
      <c r="T89" s="43">
        <v>1</v>
      </c>
      <c r="U89" s="43">
        <v>135</v>
      </c>
      <c r="V89" s="44">
        <v>135</v>
      </c>
      <c r="W89" s="49" t="str">
        <f t="shared" si="5"/>
        <v>TAK</v>
      </c>
    </row>
    <row r="90" spans="1:23" x14ac:dyDescent="0.3">
      <c r="A90" s="65"/>
      <c r="B90" s="24">
        <v>88</v>
      </c>
      <c r="C90" s="40">
        <v>0.93546899999999999</v>
      </c>
      <c r="D90" s="41">
        <v>0.78193699999999999</v>
      </c>
      <c r="E90" s="42">
        <v>-4.4299999999999998E-4</v>
      </c>
      <c r="F90" s="43">
        <v>1.0709999999999999E-3</v>
      </c>
      <c r="G90" s="43">
        <v>9.9999999999999995E-7</v>
      </c>
      <c r="H90" s="43">
        <v>1</v>
      </c>
      <c r="I90" s="44">
        <v>59</v>
      </c>
      <c r="J90" s="49" t="str">
        <f t="shared" si="3"/>
        <v>TAK</v>
      </c>
      <c r="K90" s="42">
        <v>3.4299999999999999E-4</v>
      </c>
      <c r="L90" s="42">
        <v>-1.2019999999999999E-3</v>
      </c>
      <c r="M90" s="42">
        <v>9.9999999999999995E-7</v>
      </c>
      <c r="N90" s="43">
        <v>1</v>
      </c>
      <c r="O90" s="44">
        <v>56</v>
      </c>
      <c r="P90" s="49" t="str">
        <f t="shared" si="4"/>
        <v>TAK</v>
      </c>
      <c r="Q90" s="40">
        <v>1.070365</v>
      </c>
      <c r="R90" s="43">
        <v>-0.53342299999999998</v>
      </c>
      <c r="S90" s="43">
        <v>0.87736499999999995</v>
      </c>
      <c r="T90" s="43">
        <v>1</v>
      </c>
      <c r="U90" s="43">
        <v>128</v>
      </c>
      <c r="V90" s="44">
        <v>128</v>
      </c>
      <c r="W90" s="49" t="str">
        <f t="shared" si="5"/>
        <v>NIE</v>
      </c>
    </row>
    <row r="91" spans="1:23" x14ac:dyDescent="0.3">
      <c r="A91" s="65"/>
      <c r="B91" s="24">
        <v>89</v>
      </c>
      <c r="C91" s="40">
        <v>0.228355</v>
      </c>
      <c r="D91" s="41">
        <v>1.3664620000000001</v>
      </c>
      <c r="E91" s="42">
        <v>-4.3800000000000002E-4</v>
      </c>
      <c r="F91" s="43">
        <v>1.0579999999999999E-3</v>
      </c>
      <c r="G91" s="43">
        <v>9.9999999999999995E-7</v>
      </c>
      <c r="H91" s="43">
        <v>1</v>
      </c>
      <c r="I91" s="44">
        <v>84</v>
      </c>
      <c r="J91" s="49" t="str">
        <f t="shared" si="3"/>
        <v>TAK</v>
      </c>
      <c r="K91" s="42">
        <v>-2.7500000000000002E-4</v>
      </c>
      <c r="L91" s="42">
        <v>1.158E-3</v>
      </c>
      <c r="M91" s="42">
        <v>9.9999999999999995E-7</v>
      </c>
      <c r="N91" s="43">
        <v>1</v>
      </c>
      <c r="O91" s="44">
        <v>65</v>
      </c>
      <c r="P91" s="49" t="str">
        <f t="shared" si="4"/>
        <v>TAK</v>
      </c>
      <c r="Q91" s="40">
        <v>2.8499999999999999E-4</v>
      </c>
      <c r="R91" s="43">
        <v>1.838E-3</v>
      </c>
      <c r="S91" s="43">
        <v>3.9999999999999998E-6</v>
      </c>
      <c r="T91" s="43">
        <v>1</v>
      </c>
      <c r="U91" s="43">
        <v>129</v>
      </c>
      <c r="V91" s="44">
        <v>129</v>
      </c>
      <c r="W91" s="49" t="str">
        <f t="shared" si="5"/>
        <v>TAK</v>
      </c>
    </row>
    <row r="92" spans="1:23" x14ac:dyDescent="0.3">
      <c r="A92" s="65"/>
      <c r="B92" s="24">
        <v>90</v>
      </c>
      <c r="C92" s="40">
        <v>0.97814800000000002</v>
      </c>
      <c r="D92" s="41">
        <v>0.50408399999999998</v>
      </c>
      <c r="E92" s="42">
        <v>4.2499999999999998E-4</v>
      </c>
      <c r="F92" s="43">
        <v>-1.026E-3</v>
      </c>
      <c r="G92" s="43">
        <v>9.9999999999999995E-7</v>
      </c>
      <c r="H92" s="43">
        <v>1</v>
      </c>
      <c r="I92" s="44">
        <v>64</v>
      </c>
      <c r="J92" s="49" t="str">
        <f t="shared" si="3"/>
        <v>TAK</v>
      </c>
      <c r="K92" s="42">
        <v>2.92E-4</v>
      </c>
      <c r="L92" s="42">
        <v>-2.1999999999999999E-5</v>
      </c>
      <c r="M92" s="42">
        <v>0</v>
      </c>
      <c r="N92" s="43">
        <v>1</v>
      </c>
      <c r="O92" s="44">
        <v>74</v>
      </c>
      <c r="P92" s="49" t="str">
        <f t="shared" si="4"/>
        <v>TAK</v>
      </c>
      <c r="Q92" s="40">
        <v>1.070381</v>
      </c>
      <c r="R92" s="43">
        <v>-0.53338300000000005</v>
      </c>
      <c r="S92" s="43">
        <v>0.87736499999999995</v>
      </c>
      <c r="T92" s="43">
        <v>1</v>
      </c>
      <c r="U92" s="43">
        <v>123</v>
      </c>
      <c r="V92" s="44">
        <v>123</v>
      </c>
      <c r="W92" s="49" t="str">
        <f t="shared" si="5"/>
        <v>NIE</v>
      </c>
    </row>
    <row r="93" spans="1:23" x14ac:dyDescent="0.3">
      <c r="A93" s="65"/>
      <c r="B93" s="24">
        <v>91</v>
      </c>
      <c r="C93" s="40">
        <v>0.88682300000000003</v>
      </c>
      <c r="D93" s="41">
        <v>1.9561539999999999</v>
      </c>
      <c r="E93" s="42">
        <v>-4.28E-4</v>
      </c>
      <c r="F93" s="43">
        <v>1.034E-3</v>
      </c>
      <c r="G93" s="43">
        <v>9.9999999999999995E-7</v>
      </c>
      <c r="H93" s="43">
        <v>1</v>
      </c>
      <c r="I93" s="44">
        <v>86</v>
      </c>
      <c r="J93" s="49" t="str">
        <f t="shared" si="3"/>
        <v>TAK</v>
      </c>
      <c r="K93" s="42">
        <v>-1.2999999999999999E-4</v>
      </c>
      <c r="L93" s="42">
        <v>9.8900000000000008E-4</v>
      </c>
      <c r="M93" s="42">
        <v>9.9999999999999995E-7</v>
      </c>
      <c r="N93" s="43">
        <v>1</v>
      </c>
      <c r="O93" s="44">
        <v>68</v>
      </c>
      <c r="P93" s="49" t="str">
        <f t="shared" si="4"/>
        <v>TAK</v>
      </c>
      <c r="Q93" s="40">
        <v>1.070417</v>
      </c>
      <c r="R93" s="43">
        <v>-0.53338300000000005</v>
      </c>
      <c r="S93" s="43">
        <v>0.87736499999999995</v>
      </c>
      <c r="T93" s="43">
        <v>1</v>
      </c>
      <c r="U93" s="43">
        <v>140</v>
      </c>
      <c r="V93" s="44">
        <v>140</v>
      </c>
      <c r="W93" s="49" t="str">
        <f t="shared" si="5"/>
        <v>NIE</v>
      </c>
    </row>
    <row r="94" spans="1:23" x14ac:dyDescent="0.3">
      <c r="A94" s="65"/>
      <c r="B94" s="24">
        <v>92</v>
      </c>
      <c r="C94" s="40">
        <v>1.7040930000000001</v>
      </c>
      <c r="D94" s="41">
        <v>0.85614199999999996</v>
      </c>
      <c r="E94" s="42">
        <v>1.747465</v>
      </c>
      <c r="F94" s="43">
        <v>-0.87287999999999999</v>
      </c>
      <c r="G94" s="43">
        <v>0.29863899999999999</v>
      </c>
      <c r="H94" s="43">
        <v>1</v>
      </c>
      <c r="I94" s="44">
        <v>76</v>
      </c>
      <c r="J94" s="49" t="str">
        <f t="shared" si="3"/>
        <v>NIE</v>
      </c>
      <c r="K94" s="42">
        <v>1.7474099999999999</v>
      </c>
      <c r="L94" s="42">
        <v>-0.87295800000000001</v>
      </c>
      <c r="M94" s="42">
        <v>0.29863899999999999</v>
      </c>
      <c r="N94" s="43">
        <v>1</v>
      </c>
      <c r="O94" s="44">
        <v>65</v>
      </c>
      <c r="P94" s="49" t="str">
        <f t="shared" si="4"/>
        <v>NIE</v>
      </c>
      <c r="Q94" s="40">
        <v>1.747511</v>
      </c>
      <c r="R94" s="43">
        <v>-0.87189399999999995</v>
      </c>
      <c r="S94" s="43">
        <v>0.29864200000000002</v>
      </c>
      <c r="T94" s="43">
        <v>1</v>
      </c>
      <c r="U94" s="43">
        <v>133</v>
      </c>
      <c r="V94" s="44">
        <v>133</v>
      </c>
      <c r="W94" s="49" t="str">
        <f t="shared" si="5"/>
        <v>NIE</v>
      </c>
    </row>
    <row r="95" spans="1:23" x14ac:dyDescent="0.3">
      <c r="A95" s="65"/>
      <c r="B95" s="24">
        <v>93</v>
      </c>
      <c r="C95" s="40">
        <v>1.9758770000000001</v>
      </c>
      <c r="D95" s="41">
        <v>1.5286759999999999</v>
      </c>
      <c r="E95" s="42">
        <v>1.7474689999999999</v>
      </c>
      <c r="F95" s="43">
        <v>-0.87291799999999997</v>
      </c>
      <c r="G95" s="43">
        <v>0.29863899999999999</v>
      </c>
      <c r="H95" s="43">
        <v>1</v>
      </c>
      <c r="I95" s="44">
        <v>80</v>
      </c>
      <c r="J95" s="49" t="str">
        <f t="shared" si="3"/>
        <v>NIE</v>
      </c>
      <c r="K95" s="42" t="s">
        <v>22</v>
      </c>
      <c r="L95" s="42" t="s">
        <v>22</v>
      </c>
      <c r="M95" s="42" t="s">
        <v>22</v>
      </c>
      <c r="N95" s="43">
        <v>1</v>
      </c>
      <c r="O95" s="44">
        <v>46</v>
      </c>
      <c r="P95" s="49" t="e">
        <f t="shared" si="4"/>
        <v>#VALUE!</v>
      </c>
      <c r="Q95" s="40">
        <v>1.747879</v>
      </c>
      <c r="R95" s="43">
        <v>-0.87192400000000003</v>
      </c>
      <c r="S95" s="43">
        <v>0.29864299999999999</v>
      </c>
      <c r="T95" s="43">
        <v>1</v>
      </c>
      <c r="U95" s="43">
        <v>139</v>
      </c>
      <c r="V95" s="44">
        <v>139</v>
      </c>
      <c r="W95" s="49" t="str">
        <f t="shared" si="5"/>
        <v>NIE</v>
      </c>
    </row>
    <row r="96" spans="1:23" x14ac:dyDescent="0.3">
      <c r="A96" s="65"/>
      <c r="B96" s="24">
        <v>94</v>
      </c>
      <c r="C96" s="40">
        <v>1.551104</v>
      </c>
      <c r="D96" s="41">
        <v>1.5320130000000001</v>
      </c>
      <c r="E96" s="42">
        <v>1.7474609999999999</v>
      </c>
      <c r="F96" s="43">
        <v>-0.87284300000000004</v>
      </c>
      <c r="G96" s="43">
        <v>0.29863899999999999</v>
      </c>
      <c r="H96" s="43">
        <v>1</v>
      </c>
      <c r="I96" s="44">
        <v>80</v>
      </c>
      <c r="J96" s="49" t="str">
        <f t="shared" si="3"/>
        <v>NIE</v>
      </c>
      <c r="K96" s="42" t="s">
        <v>22</v>
      </c>
      <c r="L96" s="42" t="s">
        <v>22</v>
      </c>
      <c r="M96" s="42" t="s">
        <v>22</v>
      </c>
      <c r="N96" s="43">
        <v>1</v>
      </c>
      <c r="O96" s="44">
        <v>46</v>
      </c>
      <c r="P96" s="49" t="e">
        <f t="shared" si="4"/>
        <v>#VALUE!</v>
      </c>
      <c r="Q96" s="40">
        <v>1.7474689999999999</v>
      </c>
      <c r="R96" s="43">
        <v>-0.87188699999999997</v>
      </c>
      <c r="S96" s="43">
        <v>0.29864200000000002</v>
      </c>
      <c r="T96" s="43">
        <v>1</v>
      </c>
      <c r="U96" s="43">
        <v>139</v>
      </c>
      <c r="V96" s="44">
        <v>139</v>
      </c>
      <c r="W96" s="49" t="str">
        <f t="shared" si="5"/>
        <v>NIE</v>
      </c>
    </row>
    <row r="97" spans="1:23" x14ac:dyDescent="0.3">
      <c r="A97" s="65"/>
      <c r="B97" s="24">
        <v>95</v>
      </c>
      <c r="C97" s="40">
        <v>0.90627199999999997</v>
      </c>
      <c r="D97" s="41">
        <v>1.0863659999999999</v>
      </c>
      <c r="E97" s="42">
        <v>-4.2000000000000002E-4</v>
      </c>
      <c r="F97" s="43">
        <v>1.0150000000000001E-3</v>
      </c>
      <c r="G97" s="43">
        <v>9.9999999999999995E-7</v>
      </c>
      <c r="H97" s="43">
        <v>1</v>
      </c>
      <c r="I97" s="44">
        <v>74</v>
      </c>
      <c r="J97" s="49" t="str">
        <f t="shared" si="3"/>
        <v>TAK</v>
      </c>
      <c r="K97" s="42">
        <v>-3.57E-4</v>
      </c>
      <c r="L97" s="42">
        <v>1.2639999999999999E-3</v>
      </c>
      <c r="M97" s="42">
        <v>9.9999999999999995E-7</v>
      </c>
      <c r="N97" s="43">
        <v>1</v>
      </c>
      <c r="O97" s="44">
        <v>59</v>
      </c>
      <c r="P97" s="49" t="str">
        <f t="shared" si="4"/>
        <v>TAK</v>
      </c>
      <c r="Q97" s="40">
        <v>1.070371</v>
      </c>
      <c r="R97" s="43">
        <v>-0.53342000000000001</v>
      </c>
      <c r="S97" s="43">
        <v>0.87736499999999995</v>
      </c>
      <c r="T97" s="43">
        <v>1</v>
      </c>
      <c r="U97" s="43">
        <v>132</v>
      </c>
      <c r="V97" s="44">
        <v>132</v>
      </c>
      <c r="W97" s="49" t="str">
        <f t="shared" si="5"/>
        <v>NIE</v>
      </c>
    </row>
    <row r="98" spans="1:23" x14ac:dyDescent="0.3">
      <c r="A98" s="65"/>
      <c r="B98" s="24">
        <v>96</v>
      </c>
      <c r="C98" s="40">
        <v>0.74523499999999998</v>
      </c>
      <c r="D98" s="41">
        <v>0.12324300000000001</v>
      </c>
      <c r="E98" s="42">
        <v>4.3100000000000001E-4</v>
      </c>
      <c r="F98" s="43">
        <v>-1.039E-3</v>
      </c>
      <c r="G98" s="43">
        <v>9.9999999999999995E-7</v>
      </c>
      <c r="H98" s="43">
        <v>1</v>
      </c>
      <c r="I98" s="44">
        <v>67</v>
      </c>
      <c r="J98" s="49" t="str">
        <f t="shared" si="3"/>
        <v>TAK</v>
      </c>
      <c r="K98" s="42">
        <v>-9.1000000000000003E-5</v>
      </c>
      <c r="L98" s="42">
        <v>-5.3200000000000003E-4</v>
      </c>
      <c r="M98" s="42">
        <v>0</v>
      </c>
      <c r="N98" s="43">
        <v>1</v>
      </c>
      <c r="O98" s="44">
        <v>53</v>
      </c>
      <c r="P98" s="49" t="str">
        <f t="shared" si="4"/>
        <v>TAK</v>
      </c>
      <c r="Q98" s="40">
        <v>1.0698669999999999</v>
      </c>
      <c r="R98" s="43">
        <v>-0.53357399999999999</v>
      </c>
      <c r="S98" s="43">
        <v>0.87736199999999998</v>
      </c>
      <c r="T98" s="43">
        <v>1</v>
      </c>
      <c r="U98" s="43">
        <v>115</v>
      </c>
      <c r="V98" s="44">
        <v>115</v>
      </c>
      <c r="W98" s="49" t="str">
        <f t="shared" si="5"/>
        <v>NIE</v>
      </c>
    </row>
    <row r="99" spans="1:23" x14ac:dyDescent="0.3">
      <c r="A99" s="65"/>
      <c r="B99" s="24">
        <v>97</v>
      </c>
      <c r="C99" s="40">
        <v>1.6790350000000001</v>
      </c>
      <c r="D99" s="41">
        <v>4.8079999999999998E-2</v>
      </c>
      <c r="E99" s="42">
        <v>1.7474689999999999</v>
      </c>
      <c r="F99" s="43">
        <v>-0.872919</v>
      </c>
      <c r="G99" s="43">
        <v>0.29863899999999999</v>
      </c>
      <c r="H99" s="43">
        <v>1</v>
      </c>
      <c r="I99" s="44">
        <v>70</v>
      </c>
      <c r="J99" s="49" t="str">
        <f t="shared" si="3"/>
        <v>NIE</v>
      </c>
      <c r="K99" s="42">
        <v>1.7474080000000001</v>
      </c>
      <c r="L99" s="42">
        <v>-0.87277000000000005</v>
      </c>
      <c r="M99" s="42">
        <v>0.29863899999999999</v>
      </c>
      <c r="N99" s="43">
        <v>1</v>
      </c>
      <c r="O99" s="44">
        <v>59</v>
      </c>
      <c r="P99" s="49" t="str">
        <f t="shared" si="4"/>
        <v>NIE</v>
      </c>
      <c r="Q99" s="40">
        <v>1.747439</v>
      </c>
      <c r="R99" s="43">
        <v>-0.87192999999999998</v>
      </c>
      <c r="S99" s="43">
        <v>0.29864200000000002</v>
      </c>
      <c r="T99" s="43">
        <v>1</v>
      </c>
      <c r="U99" s="43">
        <v>121</v>
      </c>
      <c r="V99" s="44">
        <v>121</v>
      </c>
      <c r="W99" s="49" t="str">
        <f t="shared" si="5"/>
        <v>NIE</v>
      </c>
    </row>
    <row r="100" spans="1:23" x14ac:dyDescent="0.3">
      <c r="A100" s="65"/>
      <c r="B100" s="24">
        <v>98</v>
      </c>
      <c r="C100" s="40">
        <v>0.20507500000000001</v>
      </c>
      <c r="D100" s="41">
        <v>0.59856500000000001</v>
      </c>
      <c r="E100" s="42">
        <v>-4.3600000000000003E-4</v>
      </c>
      <c r="F100" s="43">
        <v>1.0529999999999999E-3</v>
      </c>
      <c r="G100" s="43">
        <v>9.9999999999999995E-7</v>
      </c>
      <c r="H100" s="43">
        <v>1</v>
      </c>
      <c r="I100" s="44">
        <v>73</v>
      </c>
      <c r="J100" s="49" t="str">
        <f t="shared" si="3"/>
        <v>TAK</v>
      </c>
      <c r="K100" s="42">
        <v>-5.1E-5</v>
      </c>
      <c r="L100" s="42">
        <v>7.2300000000000001E-4</v>
      </c>
      <c r="M100" s="42">
        <v>0</v>
      </c>
      <c r="N100" s="43">
        <v>1</v>
      </c>
      <c r="O100" s="44">
        <v>62</v>
      </c>
      <c r="P100" s="49" t="str">
        <f t="shared" si="4"/>
        <v>TAK</v>
      </c>
      <c r="Q100" s="40">
        <v>5.5999999999999995E-4</v>
      </c>
      <c r="R100" s="43">
        <v>1.7440000000000001E-3</v>
      </c>
      <c r="S100" s="43">
        <v>5.0000000000000004E-6</v>
      </c>
      <c r="T100" s="43">
        <v>1</v>
      </c>
      <c r="U100" s="43">
        <v>114</v>
      </c>
      <c r="V100" s="44">
        <v>114</v>
      </c>
      <c r="W100" s="49" t="str">
        <f t="shared" si="5"/>
        <v>TAK</v>
      </c>
    </row>
    <row r="101" spans="1:23" x14ac:dyDescent="0.3">
      <c r="A101" s="65"/>
      <c r="B101" s="24">
        <v>99</v>
      </c>
      <c r="C101" s="40">
        <v>0.60150300000000001</v>
      </c>
      <c r="D101" s="41">
        <v>1.265619</v>
      </c>
      <c r="E101" s="42">
        <v>-4.3199999999999998E-4</v>
      </c>
      <c r="F101" s="43">
        <v>1.0430000000000001E-3</v>
      </c>
      <c r="G101" s="43">
        <v>9.9999999999999995E-7</v>
      </c>
      <c r="H101" s="43">
        <v>1</v>
      </c>
      <c r="I101" s="44">
        <v>81</v>
      </c>
      <c r="J101" s="49" t="str">
        <f t="shared" si="3"/>
        <v>TAK</v>
      </c>
      <c r="K101" s="42">
        <v>-1.3200000000000001E-4</v>
      </c>
      <c r="L101" s="42">
        <v>7.1000000000000002E-4</v>
      </c>
      <c r="M101" s="42">
        <v>0</v>
      </c>
      <c r="N101" s="43">
        <v>1</v>
      </c>
      <c r="O101" s="44">
        <v>68</v>
      </c>
      <c r="P101" s="49" t="str">
        <f t="shared" si="4"/>
        <v>TAK</v>
      </c>
      <c r="Q101" s="40">
        <v>1.0702659999999999</v>
      </c>
      <c r="R101" s="43">
        <v>-0.53342699999999998</v>
      </c>
      <c r="S101" s="43">
        <v>0.87736400000000003</v>
      </c>
      <c r="T101" s="43">
        <v>1</v>
      </c>
      <c r="U101" s="43">
        <v>133</v>
      </c>
      <c r="V101" s="44">
        <v>133</v>
      </c>
      <c r="W101" s="49" t="str">
        <f t="shared" si="5"/>
        <v>NIE</v>
      </c>
    </row>
    <row r="102" spans="1:23" ht="15" thickBot="1" x14ac:dyDescent="0.35">
      <c r="A102" s="66"/>
      <c r="B102" s="25">
        <v>100</v>
      </c>
      <c r="C102" s="36">
        <v>1.8694820000000001</v>
      </c>
      <c r="D102" s="45">
        <v>0.82776899999999998</v>
      </c>
      <c r="E102" s="46">
        <v>1.7474670000000001</v>
      </c>
      <c r="F102" s="47">
        <v>-0.87290599999999996</v>
      </c>
      <c r="G102" s="47">
        <v>0.29863899999999999</v>
      </c>
      <c r="H102" s="47">
        <v>1</v>
      </c>
      <c r="I102" s="48">
        <v>76</v>
      </c>
      <c r="J102" s="49" t="str">
        <f t="shared" si="3"/>
        <v>NIE</v>
      </c>
      <c r="K102" s="46">
        <v>1.747438</v>
      </c>
      <c r="L102" s="46">
        <v>-0.87276299999999996</v>
      </c>
      <c r="M102" s="46">
        <v>0.29863899999999999</v>
      </c>
      <c r="N102" s="47">
        <v>1</v>
      </c>
      <c r="O102" s="48">
        <v>62</v>
      </c>
      <c r="P102" s="49" t="str">
        <f t="shared" si="4"/>
        <v>NIE</v>
      </c>
      <c r="Q102" s="36">
        <v>1.747736</v>
      </c>
      <c r="R102" s="47">
        <v>-0.87194799999999995</v>
      </c>
      <c r="S102" s="47">
        <v>0.29864200000000002</v>
      </c>
      <c r="T102" s="47">
        <v>1</v>
      </c>
      <c r="U102" s="47">
        <v>133</v>
      </c>
      <c r="V102" s="48">
        <v>133</v>
      </c>
      <c r="W102" s="49" t="str">
        <f t="shared" si="5"/>
        <v>NIE</v>
      </c>
    </row>
    <row r="103" spans="1:23" ht="15" thickBot="1" x14ac:dyDescent="0.35">
      <c r="A103" s="60" t="s">
        <v>29</v>
      </c>
      <c r="B103" s="60"/>
      <c r="C103" s="60">
        <f>AVERAGEIF($J3:$J102, "TAK", C3:C102)</f>
        <v>0.59751271186440702</v>
      </c>
      <c r="D103" s="60">
        <f t="shared" ref="D103:I103" si="6">AVERAGEIF($J3:$J102, "TAK", D3:D102)</f>
        <v>1.169132661016949</v>
      </c>
      <c r="E103" s="60">
        <f t="shared" si="6"/>
        <v>-3.1174576271186441E-4</v>
      </c>
      <c r="F103" s="60">
        <f t="shared" si="6"/>
        <v>7.5381355932203355E-4</v>
      </c>
      <c r="G103" s="60">
        <f t="shared" si="6"/>
        <v>9.999999999999989E-7</v>
      </c>
      <c r="H103" s="60">
        <f t="shared" si="6"/>
        <v>1</v>
      </c>
      <c r="I103" s="60">
        <f t="shared" si="6"/>
        <v>76.169491525423723</v>
      </c>
      <c r="J103" s="60">
        <f>COUNTIF(J3:J102, "TAK")</f>
        <v>59</v>
      </c>
      <c r="K103" s="60">
        <f>AVERAGEIF($P3:$P102, "TAK", K3:K102)</f>
        <v>-1.1822413793103446E-4</v>
      </c>
      <c r="L103" s="60">
        <f t="shared" ref="L103:O103" si="7">AVERAGEIF($P3:$P102, "TAK", L3:L102)</f>
        <v>5.9696551724137948E-4</v>
      </c>
      <c r="M103" s="60">
        <f t="shared" si="7"/>
        <v>7.9310344827586157E-7</v>
      </c>
      <c r="N103" s="60">
        <f t="shared" si="7"/>
        <v>1</v>
      </c>
      <c r="O103" s="60">
        <f t="shared" si="7"/>
        <v>65.827586206896555</v>
      </c>
      <c r="P103" s="62">
        <f>COUNTIF(P3:P102, "TAK")</f>
        <v>58</v>
      </c>
      <c r="Q103" s="60">
        <f>AVERAGEIF($W3:$W102, "TAK", Q3:Q102)</f>
        <v>4.8451851851851857E-4</v>
      </c>
      <c r="R103" s="60">
        <f t="shared" ref="R103:V103" si="8">AVERAGEIF($W3:$W102, "TAK", R3:R102)</f>
        <v>1.7252222222222222E-3</v>
      </c>
      <c r="S103" s="60">
        <f t="shared" si="8"/>
        <v>4.6296296296296304E-6</v>
      </c>
      <c r="T103" s="60">
        <f t="shared" si="8"/>
        <v>1</v>
      </c>
      <c r="U103" s="60">
        <f t="shared" si="8"/>
        <v>121.22222222222223</v>
      </c>
      <c r="V103" s="60">
        <f t="shared" si="8"/>
        <v>121.22222222222223</v>
      </c>
      <c r="W103" s="60">
        <f>COUNTIF(W3:W102, "TAK")</f>
        <v>27</v>
      </c>
    </row>
    <row r="104" spans="1:23" x14ac:dyDescent="0.3">
      <c r="A104" s="67">
        <v>0.25</v>
      </c>
      <c r="B104" s="26">
        <v>1</v>
      </c>
      <c r="C104" s="37">
        <v>0.99828799999999995</v>
      </c>
      <c r="D104" s="49">
        <v>0.42650100000000002</v>
      </c>
      <c r="E104" s="50">
        <v>3.8000000000000002E-5</v>
      </c>
      <c r="F104" s="38">
        <v>-9.1000000000000003E-5</v>
      </c>
      <c r="G104" s="38">
        <v>0</v>
      </c>
      <c r="H104" s="38">
        <v>1</v>
      </c>
      <c r="I104" s="39">
        <v>18</v>
      </c>
      <c r="J104" s="49" t="str">
        <f t="shared" si="3"/>
        <v>TAK</v>
      </c>
      <c r="K104" s="50">
        <v>-1.9799999999999999E-4</v>
      </c>
      <c r="L104" s="50">
        <v>2.9300000000000002E-4</v>
      </c>
      <c r="M104" s="50">
        <v>0</v>
      </c>
      <c r="N104" s="38">
        <v>1</v>
      </c>
      <c r="O104" s="39">
        <v>32</v>
      </c>
      <c r="P104" s="49" t="str">
        <f t="shared" si="4"/>
        <v>TAK</v>
      </c>
      <c r="Q104" s="37">
        <v>1.0705260000000001</v>
      </c>
      <c r="R104" s="38">
        <v>-0.53504200000000002</v>
      </c>
      <c r="S104" s="38">
        <v>0.87736199999999998</v>
      </c>
      <c r="T104" s="38">
        <v>1</v>
      </c>
      <c r="U104" s="38">
        <v>29</v>
      </c>
      <c r="V104" s="39">
        <v>29</v>
      </c>
      <c r="W104" s="49" t="str">
        <f t="shared" si="5"/>
        <v>NIE</v>
      </c>
    </row>
    <row r="105" spans="1:23" x14ac:dyDescent="0.3">
      <c r="A105" s="68"/>
      <c r="B105" s="24">
        <v>2</v>
      </c>
      <c r="C105" s="40">
        <v>8.0746999999999999E-2</v>
      </c>
      <c r="D105" s="41">
        <v>1.55138</v>
      </c>
      <c r="E105" s="42">
        <v>-3.8999999999999999E-5</v>
      </c>
      <c r="F105" s="43">
        <v>9.5000000000000005E-5</v>
      </c>
      <c r="G105" s="43">
        <v>0</v>
      </c>
      <c r="H105" s="43">
        <v>1</v>
      </c>
      <c r="I105" s="44">
        <v>19</v>
      </c>
      <c r="J105" s="49" t="str">
        <f t="shared" si="3"/>
        <v>TAK</v>
      </c>
      <c r="K105" s="42">
        <v>-5.1999999999999997E-5</v>
      </c>
      <c r="L105" s="42">
        <v>3.1599999999999998E-4</v>
      </c>
      <c r="M105" s="42">
        <v>0</v>
      </c>
      <c r="N105" s="43">
        <v>1</v>
      </c>
      <c r="O105" s="44">
        <v>26</v>
      </c>
      <c r="P105" s="49" t="str">
        <f t="shared" si="4"/>
        <v>TAK</v>
      </c>
      <c r="Q105" s="40">
        <v>1.4E-5</v>
      </c>
      <c r="R105" s="43">
        <v>2.7700000000000001E-4</v>
      </c>
      <c r="S105" s="43">
        <v>0</v>
      </c>
      <c r="T105" s="43">
        <v>1</v>
      </c>
      <c r="U105" s="43">
        <v>30</v>
      </c>
      <c r="V105" s="44">
        <v>30</v>
      </c>
      <c r="W105" s="49" t="str">
        <f t="shared" si="5"/>
        <v>TAK</v>
      </c>
    </row>
    <row r="106" spans="1:23" x14ac:dyDescent="0.3">
      <c r="A106" s="68"/>
      <c r="B106" s="24">
        <v>3</v>
      </c>
      <c r="C106" s="40">
        <v>0.80316200000000004</v>
      </c>
      <c r="D106" s="41">
        <v>1.9038740000000001</v>
      </c>
      <c r="E106" s="42">
        <v>-5.1E-5</v>
      </c>
      <c r="F106" s="43">
        <v>1.2300000000000001E-4</v>
      </c>
      <c r="G106" s="43">
        <v>0</v>
      </c>
      <c r="H106" s="43">
        <v>1</v>
      </c>
      <c r="I106" s="44">
        <v>18</v>
      </c>
      <c r="J106" s="49" t="str">
        <f t="shared" si="3"/>
        <v>TAK</v>
      </c>
      <c r="K106" s="42">
        <v>-2.6999999999999999E-5</v>
      </c>
      <c r="L106" s="42">
        <v>2.1499999999999999E-4</v>
      </c>
      <c r="M106" s="42">
        <v>0</v>
      </c>
      <c r="N106" s="43">
        <v>1</v>
      </c>
      <c r="O106" s="44">
        <v>26</v>
      </c>
      <c r="P106" s="49" t="str">
        <f t="shared" si="4"/>
        <v>TAK</v>
      </c>
      <c r="Q106" s="40">
        <v>1.070522</v>
      </c>
      <c r="R106" s="43">
        <v>-0.53503000000000001</v>
      </c>
      <c r="S106" s="43">
        <v>0.87736199999999998</v>
      </c>
      <c r="T106" s="43">
        <v>1</v>
      </c>
      <c r="U106" s="43">
        <v>32</v>
      </c>
      <c r="V106" s="44">
        <v>32</v>
      </c>
      <c r="W106" s="49" t="str">
        <f t="shared" si="5"/>
        <v>NIE</v>
      </c>
    </row>
    <row r="107" spans="1:23" x14ac:dyDescent="0.3">
      <c r="A107" s="68"/>
      <c r="B107" s="24">
        <v>4</v>
      </c>
      <c r="C107" s="40">
        <v>0.97951100000000002</v>
      </c>
      <c r="D107" s="41">
        <v>1.5432570000000001</v>
      </c>
      <c r="E107" s="42">
        <v>-3.6999999999999998E-5</v>
      </c>
      <c r="F107" s="43">
        <v>8.8999999999999995E-5</v>
      </c>
      <c r="G107" s="43">
        <v>0</v>
      </c>
      <c r="H107" s="43">
        <v>1</v>
      </c>
      <c r="I107" s="44">
        <v>17</v>
      </c>
      <c r="J107" s="49" t="str">
        <f t="shared" si="3"/>
        <v>TAK</v>
      </c>
      <c r="K107" s="42">
        <v>-3.6000000000000001E-5</v>
      </c>
      <c r="L107" s="42">
        <v>-2.9599999999999998E-4</v>
      </c>
      <c r="M107" s="42">
        <v>0</v>
      </c>
      <c r="N107" s="43">
        <v>1</v>
      </c>
      <c r="O107" s="44">
        <v>29</v>
      </c>
      <c r="P107" s="49" t="str">
        <f t="shared" si="4"/>
        <v>TAK</v>
      </c>
      <c r="Q107" s="40">
        <v>1.0705309999999999</v>
      </c>
      <c r="R107" s="43">
        <v>-0.53499300000000005</v>
      </c>
      <c r="S107" s="43">
        <v>0.87736199999999998</v>
      </c>
      <c r="T107" s="43">
        <v>1</v>
      </c>
      <c r="U107" s="43">
        <v>31</v>
      </c>
      <c r="V107" s="44">
        <v>31</v>
      </c>
      <c r="W107" s="49" t="str">
        <f t="shared" si="5"/>
        <v>NIE</v>
      </c>
    </row>
    <row r="108" spans="1:23" x14ac:dyDescent="0.3">
      <c r="A108" s="68"/>
      <c r="B108" s="24">
        <v>5</v>
      </c>
      <c r="C108" s="40">
        <v>0.20114799999999999</v>
      </c>
      <c r="D108" s="41">
        <v>0.36539100000000002</v>
      </c>
      <c r="E108" s="42">
        <v>-5.0000000000000002E-5</v>
      </c>
      <c r="F108" s="43">
        <v>1.21E-4</v>
      </c>
      <c r="G108" s="43">
        <v>0</v>
      </c>
      <c r="H108" s="43">
        <v>1</v>
      </c>
      <c r="I108" s="44">
        <v>15</v>
      </c>
      <c r="J108" s="49" t="str">
        <f t="shared" si="3"/>
        <v>TAK</v>
      </c>
      <c r="K108" s="42">
        <v>-1.4799999999999999E-4</v>
      </c>
      <c r="L108" s="42">
        <v>5.7799999999999995E-4</v>
      </c>
      <c r="M108" s="42">
        <v>0</v>
      </c>
      <c r="N108" s="43">
        <v>1</v>
      </c>
      <c r="O108" s="44">
        <v>20</v>
      </c>
      <c r="P108" s="49" t="str">
        <f t="shared" si="4"/>
        <v>TAK</v>
      </c>
      <c r="Q108" s="40">
        <v>1.05E-4</v>
      </c>
      <c r="R108" s="43">
        <v>2.1000000000000001E-4</v>
      </c>
      <c r="S108" s="43">
        <v>0</v>
      </c>
      <c r="T108" s="43">
        <v>1</v>
      </c>
      <c r="U108" s="43">
        <v>26</v>
      </c>
      <c r="V108" s="44">
        <v>26</v>
      </c>
      <c r="W108" s="49" t="str">
        <f t="shared" si="5"/>
        <v>TAK</v>
      </c>
    </row>
    <row r="109" spans="1:23" x14ac:dyDescent="0.3">
      <c r="A109" s="68"/>
      <c r="B109" s="24">
        <v>6</v>
      </c>
      <c r="C109" s="40">
        <v>0.30609799999999998</v>
      </c>
      <c r="D109" s="41">
        <v>0.78895000000000004</v>
      </c>
      <c r="E109" s="42">
        <v>-4.3000000000000002E-5</v>
      </c>
      <c r="F109" s="43">
        <v>1.0399999999999999E-4</v>
      </c>
      <c r="G109" s="43">
        <v>0</v>
      </c>
      <c r="H109" s="43">
        <v>1</v>
      </c>
      <c r="I109" s="44">
        <v>17</v>
      </c>
      <c r="J109" s="49" t="str">
        <f t="shared" si="3"/>
        <v>TAK</v>
      </c>
      <c r="K109" s="42">
        <v>-1.6200000000000001E-4</v>
      </c>
      <c r="L109" s="42">
        <v>4.95E-4</v>
      </c>
      <c r="M109" s="42">
        <v>0</v>
      </c>
      <c r="N109" s="43">
        <v>1</v>
      </c>
      <c r="O109" s="44">
        <v>23</v>
      </c>
      <c r="P109" s="49" t="str">
        <f t="shared" si="4"/>
        <v>TAK</v>
      </c>
      <c r="Q109" s="40">
        <v>8.0000000000000007E-5</v>
      </c>
      <c r="R109" s="43">
        <v>2.5900000000000001E-4</v>
      </c>
      <c r="S109" s="43">
        <v>0</v>
      </c>
      <c r="T109" s="43">
        <v>1</v>
      </c>
      <c r="U109" s="43">
        <v>28</v>
      </c>
      <c r="V109" s="44">
        <v>28</v>
      </c>
      <c r="W109" s="49" t="str">
        <f t="shared" si="5"/>
        <v>TAK</v>
      </c>
    </row>
    <row r="110" spans="1:23" x14ac:dyDescent="0.3">
      <c r="A110" s="68"/>
      <c r="B110" s="24">
        <v>7</v>
      </c>
      <c r="C110" s="40">
        <v>0.62959500000000002</v>
      </c>
      <c r="D110" s="41">
        <v>1.7566580000000001</v>
      </c>
      <c r="E110" s="42">
        <v>-5.3999999999999998E-5</v>
      </c>
      <c r="F110" s="43">
        <v>1.3100000000000001E-4</v>
      </c>
      <c r="G110" s="43">
        <v>0</v>
      </c>
      <c r="H110" s="43">
        <v>1</v>
      </c>
      <c r="I110" s="44">
        <v>18</v>
      </c>
      <c r="J110" s="49" t="str">
        <f t="shared" si="3"/>
        <v>TAK</v>
      </c>
      <c r="K110" s="42">
        <v>-5.5000000000000002E-5</v>
      </c>
      <c r="L110" s="42">
        <v>2.5500000000000002E-4</v>
      </c>
      <c r="M110" s="42">
        <v>0</v>
      </c>
      <c r="N110" s="43">
        <v>1</v>
      </c>
      <c r="O110" s="44">
        <v>26</v>
      </c>
      <c r="P110" s="49" t="str">
        <f t="shared" si="4"/>
        <v>TAK</v>
      </c>
      <c r="Q110" s="40">
        <v>1.070543</v>
      </c>
      <c r="R110" s="43">
        <v>-0.53499399999999997</v>
      </c>
      <c r="S110" s="43">
        <v>0.87736199999999998</v>
      </c>
      <c r="T110" s="43">
        <v>1</v>
      </c>
      <c r="U110" s="43">
        <v>31</v>
      </c>
      <c r="V110" s="44">
        <v>31</v>
      </c>
      <c r="W110" s="49" t="str">
        <f t="shared" si="5"/>
        <v>NIE</v>
      </c>
    </row>
    <row r="111" spans="1:23" x14ac:dyDescent="0.3">
      <c r="A111" s="68"/>
      <c r="B111" s="24">
        <v>8</v>
      </c>
      <c r="C111" s="40">
        <v>0.47254800000000002</v>
      </c>
      <c r="D111" s="41">
        <v>1.0350790000000001</v>
      </c>
      <c r="E111" s="42">
        <v>-5.1E-5</v>
      </c>
      <c r="F111" s="43">
        <v>1.2400000000000001E-4</v>
      </c>
      <c r="G111" s="43">
        <v>0</v>
      </c>
      <c r="H111" s="43">
        <v>1</v>
      </c>
      <c r="I111" s="44">
        <v>17</v>
      </c>
      <c r="J111" s="49" t="str">
        <f t="shared" si="3"/>
        <v>TAK</v>
      </c>
      <c r="K111" s="42">
        <v>-1.55E-4</v>
      </c>
      <c r="L111" s="42">
        <v>5.53E-4</v>
      </c>
      <c r="M111" s="42">
        <v>0</v>
      </c>
      <c r="N111" s="43">
        <v>1</v>
      </c>
      <c r="O111" s="44">
        <v>23</v>
      </c>
      <c r="P111" s="49" t="str">
        <f t="shared" si="4"/>
        <v>TAK</v>
      </c>
      <c r="Q111" s="40">
        <v>4.3999999999999999E-5</v>
      </c>
      <c r="R111" s="43">
        <v>2.81E-4</v>
      </c>
      <c r="S111" s="43">
        <v>0</v>
      </c>
      <c r="T111" s="43">
        <v>1</v>
      </c>
      <c r="U111" s="43">
        <v>29</v>
      </c>
      <c r="V111" s="44">
        <v>29</v>
      </c>
      <c r="W111" s="49" t="str">
        <f t="shared" si="5"/>
        <v>TAK</v>
      </c>
    </row>
    <row r="112" spans="1:23" x14ac:dyDescent="0.3">
      <c r="A112" s="68"/>
      <c r="B112" s="24">
        <v>9</v>
      </c>
      <c r="C112" s="40">
        <v>1.6878649999999999</v>
      </c>
      <c r="D112" s="41">
        <v>1.2701169999999999</v>
      </c>
      <c r="E112" s="42" t="s">
        <v>30</v>
      </c>
      <c r="F112" s="43" t="s">
        <v>30</v>
      </c>
      <c r="G112" s="43" t="s">
        <v>30</v>
      </c>
      <c r="H112" s="43" t="s">
        <v>30</v>
      </c>
      <c r="I112" s="44" t="s">
        <v>30</v>
      </c>
      <c r="J112" s="49" t="e">
        <f t="shared" si="3"/>
        <v>#VALUE!</v>
      </c>
      <c r="K112" s="42" t="s">
        <v>22</v>
      </c>
      <c r="L112" s="42" t="s">
        <v>22</v>
      </c>
      <c r="M112" s="42" t="s">
        <v>22</v>
      </c>
      <c r="N112" s="43">
        <v>1</v>
      </c>
      <c r="O112" s="44">
        <v>22</v>
      </c>
      <c r="P112" s="49" t="e">
        <f t="shared" si="4"/>
        <v>#VALUE!</v>
      </c>
      <c r="Q112" s="40">
        <v>1.747546</v>
      </c>
      <c r="R112" s="43">
        <v>-0.87348999999999999</v>
      </c>
      <c r="S112" s="43">
        <v>0.29863899999999999</v>
      </c>
      <c r="T112" s="43">
        <v>1</v>
      </c>
      <c r="U112" s="43">
        <v>31</v>
      </c>
      <c r="V112" s="44">
        <v>31</v>
      </c>
      <c r="W112" s="49" t="str">
        <f t="shared" si="5"/>
        <v>NIE</v>
      </c>
    </row>
    <row r="113" spans="1:23" x14ac:dyDescent="0.3">
      <c r="A113" s="68"/>
      <c r="B113" s="24">
        <v>10</v>
      </c>
      <c r="C113" s="40">
        <v>0.65375399999999995</v>
      </c>
      <c r="D113" s="41">
        <v>0.26857500000000001</v>
      </c>
      <c r="E113" s="42">
        <v>5.8E-5</v>
      </c>
      <c r="F113" s="43">
        <v>-1.3999999999999999E-4</v>
      </c>
      <c r="G113" s="43">
        <v>0</v>
      </c>
      <c r="H113" s="43">
        <v>1</v>
      </c>
      <c r="I113" s="44">
        <v>14</v>
      </c>
      <c r="J113" s="49" t="str">
        <f t="shared" si="3"/>
        <v>TAK</v>
      </c>
      <c r="K113" s="42">
        <v>2.7599999999999999E-4</v>
      </c>
      <c r="L113" s="42">
        <v>-1.8799999999999999E-4</v>
      </c>
      <c r="M113" s="42">
        <v>0</v>
      </c>
      <c r="N113" s="43">
        <v>1</v>
      </c>
      <c r="O113" s="44">
        <v>23</v>
      </c>
      <c r="P113" s="49" t="str">
        <f t="shared" si="4"/>
        <v>TAK</v>
      </c>
      <c r="Q113" s="40">
        <v>1.0704899999999999</v>
      </c>
      <c r="R113" s="43">
        <v>-0.53499300000000005</v>
      </c>
      <c r="S113" s="43">
        <v>0.87736199999999998</v>
      </c>
      <c r="T113" s="43">
        <v>1</v>
      </c>
      <c r="U113" s="43">
        <v>27</v>
      </c>
      <c r="V113" s="44">
        <v>27</v>
      </c>
      <c r="W113" s="49" t="str">
        <f t="shared" si="5"/>
        <v>NIE</v>
      </c>
    </row>
    <row r="114" spans="1:23" x14ac:dyDescent="0.3">
      <c r="A114" s="68"/>
      <c r="B114" s="24">
        <v>11</v>
      </c>
      <c r="C114" s="40">
        <v>1.8493930000000001</v>
      </c>
      <c r="D114" s="41">
        <v>0.58192900000000003</v>
      </c>
      <c r="E114" s="42">
        <v>4.6999999999999997E-5</v>
      </c>
      <c r="F114" s="43">
        <v>-1.1400000000000001E-4</v>
      </c>
      <c r="G114" s="43">
        <v>0</v>
      </c>
      <c r="H114" s="43">
        <v>1</v>
      </c>
      <c r="I114" s="44">
        <v>22</v>
      </c>
      <c r="J114" s="49" t="str">
        <f t="shared" si="3"/>
        <v>TAK</v>
      </c>
      <c r="K114" s="42" t="s">
        <v>22</v>
      </c>
      <c r="L114" s="42" t="s">
        <v>22</v>
      </c>
      <c r="M114" s="42" t="s">
        <v>22</v>
      </c>
      <c r="N114" s="43">
        <v>1</v>
      </c>
      <c r="O114" s="44">
        <v>25</v>
      </c>
      <c r="P114" s="49" t="e">
        <f t="shared" si="4"/>
        <v>#VALUE!</v>
      </c>
      <c r="Q114" s="40">
        <v>1.7475780000000001</v>
      </c>
      <c r="R114" s="43">
        <v>-0.87351999999999996</v>
      </c>
      <c r="S114" s="43">
        <v>0.29863899999999999</v>
      </c>
      <c r="T114" s="43">
        <v>1</v>
      </c>
      <c r="U114" s="43">
        <v>30</v>
      </c>
      <c r="V114" s="44">
        <v>30</v>
      </c>
      <c r="W114" s="49" t="str">
        <f t="shared" si="5"/>
        <v>NIE</v>
      </c>
    </row>
    <row r="115" spans="1:23" x14ac:dyDescent="0.3">
      <c r="A115" s="68"/>
      <c r="B115" s="24">
        <v>12</v>
      </c>
      <c r="C115" s="40">
        <v>1.472375</v>
      </c>
      <c r="D115" s="41">
        <v>0.33163199999999998</v>
      </c>
      <c r="E115" s="42" t="s">
        <v>30</v>
      </c>
      <c r="F115" s="43" t="s">
        <v>30</v>
      </c>
      <c r="G115" s="43" t="s">
        <v>30</v>
      </c>
      <c r="H115" s="43" t="s">
        <v>30</v>
      </c>
      <c r="I115" s="44" t="s">
        <v>30</v>
      </c>
      <c r="J115" s="49" t="e">
        <f t="shared" si="3"/>
        <v>#VALUE!</v>
      </c>
      <c r="K115" s="42" t="s">
        <v>22</v>
      </c>
      <c r="L115" s="42" t="s">
        <v>22</v>
      </c>
      <c r="M115" s="42" t="s">
        <v>22</v>
      </c>
      <c r="N115" s="43">
        <v>1</v>
      </c>
      <c r="O115" s="44">
        <v>40</v>
      </c>
      <c r="P115" s="49" t="e">
        <f t="shared" si="4"/>
        <v>#VALUE!</v>
      </c>
      <c r="Q115" s="40">
        <v>8.2999999999999998E-5</v>
      </c>
      <c r="R115" s="43">
        <v>2.13E-4</v>
      </c>
      <c r="S115" s="43">
        <v>0</v>
      </c>
      <c r="T115" s="43">
        <v>1</v>
      </c>
      <c r="U115" s="43">
        <v>29</v>
      </c>
      <c r="V115" s="44">
        <v>29</v>
      </c>
      <c r="W115" s="49" t="str">
        <f t="shared" si="5"/>
        <v>TAK</v>
      </c>
    </row>
    <row r="116" spans="1:23" x14ac:dyDescent="0.3">
      <c r="A116" s="68"/>
      <c r="B116" s="24">
        <v>13</v>
      </c>
      <c r="C116" s="40">
        <v>1.9084049999999999</v>
      </c>
      <c r="D116" s="41">
        <v>1.784357</v>
      </c>
      <c r="E116" s="42">
        <v>-5.1E-5</v>
      </c>
      <c r="F116" s="43">
        <v>1.22E-4</v>
      </c>
      <c r="G116" s="43">
        <v>0</v>
      </c>
      <c r="H116" s="43">
        <v>1</v>
      </c>
      <c r="I116" s="44">
        <v>14</v>
      </c>
      <c r="J116" s="49" t="str">
        <f t="shared" si="3"/>
        <v>TAK</v>
      </c>
      <c r="K116" s="42">
        <v>1.5899999999999999E-4</v>
      </c>
      <c r="L116" s="42">
        <v>-1.25E-4</v>
      </c>
      <c r="M116" s="42">
        <v>0</v>
      </c>
      <c r="N116" s="43">
        <v>1</v>
      </c>
      <c r="O116" s="44">
        <v>23</v>
      </c>
      <c r="P116" s="49" t="str">
        <f t="shared" si="4"/>
        <v>TAK</v>
      </c>
      <c r="Q116" s="40">
        <v>1.747579</v>
      </c>
      <c r="R116" s="43">
        <v>-0.87351500000000004</v>
      </c>
      <c r="S116" s="43">
        <v>0.29863899999999999</v>
      </c>
      <c r="T116" s="43">
        <v>1</v>
      </c>
      <c r="U116" s="43">
        <v>32</v>
      </c>
      <c r="V116" s="44">
        <v>32</v>
      </c>
      <c r="W116" s="49" t="str">
        <f t="shared" si="5"/>
        <v>NIE</v>
      </c>
    </row>
    <row r="117" spans="1:23" x14ac:dyDescent="0.3">
      <c r="A117" s="68"/>
      <c r="B117" s="24">
        <v>14</v>
      </c>
      <c r="C117" s="40">
        <v>1.001172</v>
      </c>
      <c r="D117" s="41">
        <v>0.839445</v>
      </c>
      <c r="E117" s="42">
        <v>4.0000000000000003E-5</v>
      </c>
      <c r="F117" s="43">
        <v>-9.6000000000000002E-5</v>
      </c>
      <c r="G117" s="43">
        <v>0</v>
      </c>
      <c r="H117" s="43">
        <v>1</v>
      </c>
      <c r="I117" s="44">
        <v>16</v>
      </c>
      <c r="J117" s="49" t="str">
        <f t="shared" si="3"/>
        <v>TAK</v>
      </c>
      <c r="K117" s="42">
        <v>3.3000000000000003E-5</v>
      </c>
      <c r="L117" s="42">
        <v>-2.6400000000000002E-4</v>
      </c>
      <c r="M117" s="42">
        <v>0</v>
      </c>
      <c r="N117" s="43">
        <v>1</v>
      </c>
      <c r="O117" s="44">
        <v>29</v>
      </c>
      <c r="P117" s="49" t="str">
        <f t="shared" si="4"/>
        <v>TAK</v>
      </c>
      <c r="Q117" s="40">
        <v>1.07053</v>
      </c>
      <c r="R117" s="43">
        <v>-0.535026</v>
      </c>
      <c r="S117" s="43">
        <v>0.87736199999999998</v>
      </c>
      <c r="T117" s="43">
        <v>1</v>
      </c>
      <c r="U117" s="43">
        <v>30</v>
      </c>
      <c r="V117" s="44">
        <v>30</v>
      </c>
      <c r="W117" s="49" t="str">
        <f t="shared" si="5"/>
        <v>NIE</v>
      </c>
    </row>
    <row r="118" spans="1:23" x14ac:dyDescent="0.3">
      <c r="A118" s="68"/>
      <c r="B118" s="24">
        <v>15</v>
      </c>
      <c r="C118" s="40">
        <v>0.82746699999999995</v>
      </c>
      <c r="D118" s="41">
        <v>0.69611199999999995</v>
      </c>
      <c r="E118" s="42">
        <v>3.8000000000000002E-5</v>
      </c>
      <c r="F118" s="43">
        <v>-9.2E-5</v>
      </c>
      <c r="G118" s="43">
        <v>0</v>
      </c>
      <c r="H118" s="43">
        <v>1</v>
      </c>
      <c r="I118" s="44">
        <v>11</v>
      </c>
      <c r="J118" s="49" t="str">
        <f t="shared" si="3"/>
        <v>TAK</v>
      </c>
      <c r="K118" s="42">
        <v>-7.9999999999999996E-6</v>
      </c>
      <c r="L118" s="42">
        <v>-2.0000000000000001E-4</v>
      </c>
      <c r="M118" s="42">
        <v>0</v>
      </c>
      <c r="N118" s="43">
        <v>1</v>
      </c>
      <c r="O118" s="44">
        <v>29</v>
      </c>
      <c r="P118" s="49" t="str">
        <f t="shared" si="4"/>
        <v>TAK</v>
      </c>
      <c r="Q118" s="40">
        <v>1.070497</v>
      </c>
      <c r="R118" s="43">
        <v>-0.53498400000000002</v>
      </c>
      <c r="S118" s="43">
        <v>0.87736199999999998</v>
      </c>
      <c r="T118" s="43">
        <v>1</v>
      </c>
      <c r="U118" s="43">
        <v>29</v>
      </c>
      <c r="V118" s="44">
        <v>29</v>
      </c>
      <c r="W118" s="49" t="str">
        <f t="shared" si="5"/>
        <v>NIE</v>
      </c>
    </row>
    <row r="119" spans="1:23" x14ac:dyDescent="0.3">
      <c r="A119" s="68"/>
      <c r="B119" s="24">
        <v>16</v>
      </c>
      <c r="C119" s="40">
        <v>0.73930799999999997</v>
      </c>
      <c r="D119" s="41">
        <v>1.250564</v>
      </c>
      <c r="E119" s="42">
        <v>-4.6E-5</v>
      </c>
      <c r="F119" s="43">
        <v>1.11E-4</v>
      </c>
      <c r="G119" s="43">
        <v>0</v>
      </c>
      <c r="H119" s="43">
        <v>1</v>
      </c>
      <c r="I119" s="44">
        <v>17</v>
      </c>
      <c r="J119" s="49" t="str">
        <f t="shared" si="3"/>
        <v>TAK</v>
      </c>
      <c r="K119" s="42">
        <v>-1.1E-5</v>
      </c>
      <c r="L119" s="42">
        <v>5.2800000000000004E-4</v>
      </c>
      <c r="M119" s="42">
        <v>0</v>
      </c>
      <c r="N119" s="43">
        <v>1</v>
      </c>
      <c r="O119" s="44">
        <v>23</v>
      </c>
      <c r="P119" s="49" t="str">
        <f t="shared" si="4"/>
        <v>TAK</v>
      </c>
      <c r="Q119" s="40">
        <v>1.070514</v>
      </c>
      <c r="R119" s="43">
        <v>-0.53503999999999996</v>
      </c>
      <c r="S119" s="43">
        <v>0.87736199999999998</v>
      </c>
      <c r="T119" s="43">
        <v>1</v>
      </c>
      <c r="U119" s="43">
        <v>31</v>
      </c>
      <c r="V119" s="44">
        <v>31</v>
      </c>
      <c r="W119" s="49" t="str">
        <f t="shared" si="5"/>
        <v>NIE</v>
      </c>
    </row>
    <row r="120" spans="1:23" x14ac:dyDescent="0.3">
      <c r="A120" s="68"/>
      <c r="B120" s="24">
        <v>17</v>
      </c>
      <c r="C120" s="40">
        <v>0.71848500000000004</v>
      </c>
      <c r="D120" s="41">
        <v>0.35428999999999999</v>
      </c>
      <c r="E120" s="42">
        <v>3.6000000000000001E-5</v>
      </c>
      <c r="F120" s="43">
        <v>-8.6000000000000003E-5</v>
      </c>
      <c r="G120" s="43">
        <v>0</v>
      </c>
      <c r="H120" s="43">
        <v>1</v>
      </c>
      <c r="I120" s="44">
        <v>15</v>
      </c>
      <c r="J120" s="49" t="str">
        <f t="shared" si="3"/>
        <v>TAK</v>
      </c>
      <c r="K120" s="42">
        <v>1.75E-4</v>
      </c>
      <c r="L120" s="42">
        <v>-1.45E-4</v>
      </c>
      <c r="M120" s="42">
        <v>0</v>
      </c>
      <c r="N120" s="43">
        <v>1</v>
      </c>
      <c r="O120" s="44">
        <v>26</v>
      </c>
      <c r="P120" s="49" t="str">
        <f t="shared" si="4"/>
        <v>TAK</v>
      </c>
      <c r="Q120" s="40">
        <v>1.0704769999999999</v>
      </c>
      <c r="R120" s="43">
        <v>-0.53501200000000004</v>
      </c>
      <c r="S120" s="43">
        <v>0.87736199999999998</v>
      </c>
      <c r="T120" s="43">
        <v>1</v>
      </c>
      <c r="U120" s="43">
        <v>28</v>
      </c>
      <c r="V120" s="44">
        <v>28</v>
      </c>
      <c r="W120" s="49" t="str">
        <f t="shared" si="5"/>
        <v>NIE</v>
      </c>
    </row>
    <row r="121" spans="1:23" x14ac:dyDescent="0.3">
      <c r="A121" s="68"/>
      <c r="B121" s="24">
        <v>18</v>
      </c>
      <c r="C121" s="40">
        <v>0.50539500000000004</v>
      </c>
      <c r="D121" s="41">
        <v>0.27639000000000002</v>
      </c>
      <c r="E121" s="42">
        <v>4.6999999999999997E-5</v>
      </c>
      <c r="F121" s="43">
        <v>-1.13E-4</v>
      </c>
      <c r="G121" s="43">
        <v>0</v>
      </c>
      <c r="H121" s="43">
        <v>1</v>
      </c>
      <c r="I121" s="44">
        <v>10</v>
      </c>
      <c r="J121" s="49" t="str">
        <f t="shared" si="3"/>
        <v>TAK</v>
      </c>
      <c r="K121" s="42">
        <v>1.2E-5</v>
      </c>
      <c r="L121" s="42">
        <v>-4.28E-4</v>
      </c>
      <c r="M121" s="42">
        <v>0</v>
      </c>
      <c r="N121" s="43">
        <v>1</v>
      </c>
      <c r="O121" s="44">
        <v>17</v>
      </c>
      <c r="P121" s="49" t="str">
        <f t="shared" si="4"/>
        <v>TAK</v>
      </c>
      <c r="Q121" s="40">
        <v>-6.9999999999999999E-6</v>
      </c>
      <c r="R121" s="43">
        <v>2.2800000000000001E-4</v>
      </c>
      <c r="S121" s="43">
        <v>0</v>
      </c>
      <c r="T121" s="43">
        <v>1</v>
      </c>
      <c r="U121" s="43">
        <v>27</v>
      </c>
      <c r="V121" s="44">
        <v>27</v>
      </c>
      <c r="W121" s="49" t="str">
        <f t="shared" si="5"/>
        <v>TAK</v>
      </c>
    </row>
    <row r="122" spans="1:23" x14ac:dyDescent="0.3">
      <c r="A122" s="68"/>
      <c r="B122" s="24">
        <v>19</v>
      </c>
      <c r="C122" s="40">
        <v>0.94187200000000004</v>
      </c>
      <c r="D122" s="41">
        <v>1.6068990000000001</v>
      </c>
      <c r="E122" s="42">
        <v>-4.6999999999999997E-5</v>
      </c>
      <c r="F122" s="43">
        <v>1.15E-4</v>
      </c>
      <c r="G122" s="43">
        <v>0</v>
      </c>
      <c r="H122" s="43">
        <v>1</v>
      </c>
      <c r="I122" s="44">
        <v>17</v>
      </c>
      <c r="J122" s="49" t="str">
        <f t="shared" si="3"/>
        <v>TAK</v>
      </c>
      <c r="K122" s="42">
        <v>-3.6999999999999998E-5</v>
      </c>
      <c r="L122" s="42">
        <v>-2.7900000000000001E-4</v>
      </c>
      <c r="M122" s="42">
        <v>0</v>
      </c>
      <c r="N122" s="43">
        <v>1</v>
      </c>
      <c r="O122" s="44">
        <v>29</v>
      </c>
      <c r="P122" s="49" t="str">
        <f t="shared" si="4"/>
        <v>TAK</v>
      </c>
      <c r="Q122" s="40">
        <v>1.070527</v>
      </c>
      <c r="R122" s="43">
        <v>-0.53498500000000004</v>
      </c>
      <c r="S122" s="43">
        <v>0.87736199999999998</v>
      </c>
      <c r="T122" s="43">
        <v>1</v>
      </c>
      <c r="U122" s="43">
        <v>31</v>
      </c>
      <c r="V122" s="44">
        <v>31</v>
      </c>
      <c r="W122" s="49" t="str">
        <f t="shared" si="5"/>
        <v>NIE</v>
      </c>
    </row>
    <row r="123" spans="1:23" x14ac:dyDescent="0.3">
      <c r="A123" s="68"/>
      <c r="B123" s="24">
        <v>20</v>
      </c>
      <c r="C123" s="40">
        <v>0.53022199999999997</v>
      </c>
      <c r="D123" s="41">
        <v>1.815672</v>
      </c>
      <c r="E123" s="42">
        <v>-3.8000000000000002E-5</v>
      </c>
      <c r="F123" s="43">
        <v>9.1000000000000003E-5</v>
      </c>
      <c r="G123" s="43">
        <v>0</v>
      </c>
      <c r="H123" s="43">
        <v>1</v>
      </c>
      <c r="I123" s="44">
        <v>19</v>
      </c>
      <c r="J123" s="49" t="str">
        <f t="shared" si="3"/>
        <v>TAK</v>
      </c>
      <c r="K123" s="42">
        <v>-7.1000000000000005E-5</v>
      </c>
      <c r="L123" s="42">
        <v>3.3399999999999999E-4</v>
      </c>
      <c r="M123" s="42">
        <v>0</v>
      </c>
      <c r="N123" s="43">
        <v>1</v>
      </c>
      <c r="O123" s="44">
        <v>26</v>
      </c>
      <c r="P123" s="49" t="str">
        <f t="shared" si="4"/>
        <v>TAK</v>
      </c>
      <c r="Q123" s="40">
        <v>-3.6000000000000001E-5</v>
      </c>
      <c r="R123" s="43">
        <v>2.2699999999999999E-4</v>
      </c>
      <c r="S123" s="43">
        <v>0</v>
      </c>
      <c r="T123" s="43">
        <v>1</v>
      </c>
      <c r="U123" s="43">
        <v>32</v>
      </c>
      <c r="V123" s="44">
        <v>32</v>
      </c>
      <c r="W123" s="49" t="str">
        <f t="shared" si="5"/>
        <v>TAK</v>
      </c>
    </row>
    <row r="124" spans="1:23" x14ac:dyDescent="0.3">
      <c r="A124" s="68"/>
      <c r="B124" s="24">
        <v>21</v>
      </c>
      <c r="C124" s="40">
        <v>1.199954</v>
      </c>
      <c r="D124" s="41">
        <v>1.9448110000000001</v>
      </c>
      <c r="E124" s="42">
        <v>-4.6E-5</v>
      </c>
      <c r="F124" s="43">
        <v>1.1E-4</v>
      </c>
      <c r="G124" s="43">
        <v>0</v>
      </c>
      <c r="H124" s="43">
        <v>1</v>
      </c>
      <c r="I124" s="44">
        <v>15</v>
      </c>
      <c r="J124" s="49" t="str">
        <f t="shared" si="3"/>
        <v>TAK</v>
      </c>
      <c r="K124" s="42">
        <v>2.33E-4</v>
      </c>
      <c r="L124" s="42">
        <v>-2.5799999999999998E-4</v>
      </c>
      <c r="M124" s="42">
        <v>0</v>
      </c>
      <c r="N124" s="43">
        <v>1</v>
      </c>
      <c r="O124" s="44">
        <v>26</v>
      </c>
      <c r="P124" s="49" t="str">
        <f t="shared" si="4"/>
        <v>TAK</v>
      </c>
      <c r="Q124" s="40">
        <v>1.0705549999999999</v>
      </c>
      <c r="R124" s="43">
        <v>-0.535022</v>
      </c>
      <c r="S124" s="43">
        <v>0.87736199999999998</v>
      </c>
      <c r="T124" s="43">
        <v>1</v>
      </c>
      <c r="U124" s="43">
        <v>32</v>
      </c>
      <c r="V124" s="44">
        <v>32</v>
      </c>
      <c r="W124" s="49" t="str">
        <f t="shared" si="5"/>
        <v>NIE</v>
      </c>
    </row>
    <row r="125" spans="1:23" x14ac:dyDescent="0.3">
      <c r="A125" s="68"/>
      <c r="B125" s="24">
        <v>22</v>
      </c>
      <c r="C125" s="40">
        <v>0.118432</v>
      </c>
      <c r="D125" s="41">
        <v>1.4664360000000001</v>
      </c>
      <c r="E125" s="42">
        <v>-3.6000000000000001E-5</v>
      </c>
      <c r="F125" s="43">
        <v>8.7999999999999998E-5</v>
      </c>
      <c r="G125" s="43">
        <v>0</v>
      </c>
      <c r="H125" s="43">
        <v>1</v>
      </c>
      <c r="I125" s="44">
        <v>19</v>
      </c>
      <c r="J125" s="49" t="str">
        <f t="shared" si="3"/>
        <v>TAK</v>
      </c>
      <c r="K125" s="42">
        <v>-5.7000000000000003E-5</v>
      </c>
      <c r="L125" s="42">
        <v>3.2600000000000001E-4</v>
      </c>
      <c r="M125" s="42">
        <v>0</v>
      </c>
      <c r="N125" s="43">
        <v>1</v>
      </c>
      <c r="O125" s="44">
        <v>26</v>
      </c>
      <c r="P125" s="49" t="str">
        <f t="shared" si="4"/>
        <v>TAK</v>
      </c>
      <c r="Q125" s="40">
        <v>2.0999999999999999E-5</v>
      </c>
      <c r="R125" s="43">
        <v>2.6200000000000003E-4</v>
      </c>
      <c r="S125" s="43">
        <v>0</v>
      </c>
      <c r="T125" s="43">
        <v>1</v>
      </c>
      <c r="U125" s="43">
        <v>30</v>
      </c>
      <c r="V125" s="44">
        <v>30</v>
      </c>
      <c r="W125" s="49" t="str">
        <f t="shared" si="5"/>
        <v>TAK</v>
      </c>
    </row>
    <row r="126" spans="1:23" x14ac:dyDescent="0.3">
      <c r="A126" s="68"/>
      <c r="B126" s="24">
        <v>23</v>
      </c>
      <c r="C126" s="40">
        <v>1.799345</v>
      </c>
      <c r="D126" s="41">
        <v>1.8741000000000001E-2</v>
      </c>
      <c r="E126" s="42" t="s">
        <v>30</v>
      </c>
      <c r="F126" s="43" t="s">
        <v>30</v>
      </c>
      <c r="G126" s="43" t="s">
        <v>30</v>
      </c>
      <c r="H126" s="43" t="s">
        <v>30</v>
      </c>
      <c r="I126" s="44" t="s">
        <v>30</v>
      </c>
      <c r="J126" s="49" t="e">
        <f t="shared" si="3"/>
        <v>#VALUE!</v>
      </c>
      <c r="K126" s="42" t="s">
        <v>22</v>
      </c>
      <c r="L126" s="42" t="s">
        <v>22</v>
      </c>
      <c r="M126" s="42" t="s">
        <v>22</v>
      </c>
      <c r="N126" s="43">
        <v>1</v>
      </c>
      <c r="O126" s="44">
        <v>19</v>
      </c>
      <c r="P126" s="49" t="e">
        <f t="shared" si="4"/>
        <v>#VALUE!</v>
      </c>
      <c r="Q126" s="40">
        <v>1.7475719999999999</v>
      </c>
      <c r="R126" s="43">
        <v>-0.87349399999999999</v>
      </c>
      <c r="S126" s="43">
        <v>0.29863899999999999</v>
      </c>
      <c r="T126" s="43">
        <v>1</v>
      </c>
      <c r="U126" s="43">
        <v>28</v>
      </c>
      <c r="V126" s="44">
        <v>28</v>
      </c>
      <c r="W126" s="49" t="str">
        <f t="shared" si="5"/>
        <v>NIE</v>
      </c>
    </row>
    <row r="127" spans="1:23" x14ac:dyDescent="0.3">
      <c r="A127" s="68"/>
      <c r="B127" s="24">
        <v>24</v>
      </c>
      <c r="C127" s="40">
        <v>0.383216</v>
      </c>
      <c r="D127" s="41">
        <v>1.6035759999999999</v>
      </c>
      <c r="E127" s="42">
        <v>-3.6000000000000001E-5</v>
      </c>
      <c r="F127" s="43">
        <v>8.6000000000000003E-5</v>
      </c>
      <c r="G127" s="43">
        <v>0</v>
      </c>
      <c r="H127" s="43">
        <v>1</v>
      </c>
      <c r="I127" s="44">
        <v>19</v>
      </c>
      <c r="J127" s="49" t="str">
        <f t="shared" si="3"/>
        <v>TAK</v>
      </c>
      <c r="K127" s="42">
        <v>-7.3999999999999996E-5</v>
      </c>
      <c r="L127" s="42">
        <v>3.6000000000000002E-4</v>
      </c>
      <c r="M127" s="42">
        <v>0</v>
      </c>
      <c r="N127" s="43">
        <v>1</v>
      </c>
      <c r="O127" s="44">
        <v>26</v>
      </c>
      <c r="P127" s="49" t="str">
        <f t="shared" si="4"/>
        <v>TAK</v>
      </c>
      <c r="Q127" s="40">
        <v>3.6000000000000001E-5</v>
      </c>
      <c r="R127" s="43">
        <v>2.22E-4</v>
      </c>
      <c r="S127" s="43">
        <v>0</v>
      </c>
      <c r="T127" s="43">
        <v>1</v>
      </c>
      <c r="U127" s="43">
        <v>31</v>
      </c>
      <c r="V127" s="44">
        <v>31</v>
      </c>
      <c r="W127" s="49" t="str">
        <f t="shared" si="5"/>
        <v>TAK</v>
      </c>
    </row>
    <row r="128" spans="1:23" x14ac:dyDescent="0.3">
      <c r="A128" s="68"/>
      <c r="B128" s="24">
        <v>25</v>
      </c>
      <c r="C128" s="40">
        <v>1.381006</v>
      </c>
      <c r="D128" s="41">
        <v>0.982657</v>
      </c>
      <c r="E128" s="42" t="s">
        <v>30</v>
      </c>
      <c r="F128" s="43" t="s">
        <v>30</v>
      </c>
      <c r="G128" s="43" t="s">
        <v>30</v>
      </c>
      <c r="H128" s="43" t="s">
        <v>30</v>
      </c>
      <c r="I128" s="44" t="s">
        <v>30</v>
      </c>
      <c r="J128" s="49" t="e">
        <f t="shared" si="3"/>
        <v>#VALUE!</v>
      </c>
      <c r="K128" s="42" t="s">
        <v>22</v>
      </c>
      <c r="L128" s="42" t="s">
        <v>22</v>
      </c>
      <c r="M128" s="42" t="s">
        <v>22</v>
      </c>
      <c r="N128" s="43">
        <v>1</v>
      </c>
      <c r="O128" s="44">
        <v>22</v>
      </c>
      <c r="P128" s="49" t="e">
        <f t="shared" si="4"/>
        <v>#VALUE!</v>
      </c>
      <c r="Q128" s="40">
        <v>1.070584</v>
      </c>
      <c r="R128" s="43">
        <v>-0.53499300000000005</v>
      </c>
      <c r="S128" s="43">
        <v>0.87736199999999998</v>
      </c>
      <c r="T128" s="43">
        <v>1</v>
      </c>
      <c r="U128" s="43">
        <v>30</v>
      </c>
      <c r="V128" s="44">
        <v>30</v>
      </c>
      <c r="W128" s="49" t="str">
        <f t="shared" si="5"/>
        <v>NIE</v>
      </c>
    </row>
    <row r="129" spans="1:23" x14ac:dyDescent="0.3">
      <c r="A129" s="68"/>
      <c r="B129" s="24">
        <v>26</v>
      </c>
      <c r="C129" s="40">
        <v>0.80911299999999997</v>
      </c>
      <c r="D129" s="41">
        <v>1.477414</v>
      </c>
      <c r="E129" s="42">
        <v>-5.5000000000000002E-5</v>
      </c>
      <c r="F129" s="43">
        <v>1.3200000000000001E-4</v>
      </c>
      <c r="G129" s="43">
        <v>0</v>
      </c>
      <c r="H129" s="43">
        <v>1</v>
      </c>
      <c r="I129" s="44">
        <v>17</v>
      </c>
      <c r="J129" s="49" t="str">
        <f t="shared" si="3"/>
        <v>TAK</v>
      </c>
      <c r="K129" s="42">
        <v>1.5100000000000001E-4</v>
      </c>
      <c r="L129" s="42">
        <v>1.3799999999999999E-4</v>
      </c>
      <c r="M129" s="42">
        <v>0</v>
      </c>
      <c r="N129" s="43">
        <v>1</v>
      </c>
      <c r="O129" s="44">
        <v>23</v>
      </c>
      <c r="P129" s="49" t="str">
        <f t="shared" si="4"/>
        <v>TAK</v>
      </c>
      <c r="Q129" s="40">
        <v>1.070516</v>
      </c>
      <c r="R129" s="43">
        <v>-0.53500599999999998</v>
      </c>
      <c r="S129" s="43">
        <v>0.87736199999999998</v>
      </c>
      <c r="T129" s="43">
        <v>1</v>
      </c>
      <c r="U129" s="43">
        <v>31</v>
      </c>
      <c r="V129" s="44">
        <v>31</v>
      </c>
      <c r="W129" s="49" t="str">
        <f t="shared" si="5"/>
        <v>NIE</v>
      </c>
    </row>
    <row r="130" spans="1:23" x14ac:dyDescent="0.3">
      <c r="A130" s="68"/>
      <c r="B130" s="24">
        <v>27</v>
      </c>
      <c r="C130" s="40">
        <v>3.8729E-2</v>
      </c>
      <c r="D130" s="41">
        <v>0.829592</v>
      </c>
      <c r="E130" s="42">
        <v>-5.5000000000000002E-5</v>
      </c>
      <c r="F130" s="43">
        <v>1.3200000000000001E-4</v>
      </c>
      <c r="G130" s="43">
        <v>0</v>
      </c>
      <c r="H130" s="43">
        <v>1</v>
      </c>
      <c r="I130" s="44">
        <v>17</v>
      </c>
      <c r="J130" s="49" t="str">
        <f t="shared" si="3"/>
        <v>TAK</v>
      </c>
      <c r="K130" s="42">
        <v>-1.44E-4</v>
      </c>
      <c r="L130" s="42">
        <v>4.7100000000000001E-4</v>
      </c>
      <c r="M130" s="42">
        <v>0</v>
      </c>
      <c r="N130" s="43">
        <v>1</v>
      </c>
      <c r="O130" s="44">
        <v>23</v>
      </c>
      <c r="P130" s="49" t="str">
        <f t="shared" si="4"/>
        <v>TAK</v>
      </c>
      <c r="Q130" s="40">
        <v>1.2E-5</v>
      </c>
      <c r="R130" s="43">
        <v>2.63E-4</v>
      </c>
      <c r="S130" s="43">
        <v>0</v>
      </c>
      <c r="T130" s="43">
        <v>1</v>
      </c>
      <c r="U130" s="43">
        <v>28</v>
      </c>
      <c r="V130" s="44">
        <v>28</v>
      </c>
      <c r="W130" s="49" t="str">
        <f t="shared" si="5"/>
        <v>TAK</v>
      </c>
    </row>
    <row r="131" spans="1:23" x14ac:dyDescent="0.3">
      <c r="A131" s="68"/>
      <c r="B131" s="24">
        <v>28</v>
      </c>
      <c r="C131" s="40">
        <v>1.8290850000000001</v>
      </c>
      <c r="D131" s="41">
        <v>1.104954</v>
      </c>
      <c r="E131" s="42">
        <v>4.5000000000000003E-5</v>
      </c>
      <c r="F131" s="43">
        <v>-1.1E-4</v>
      </c>
      <c r="G131" s="43">
        <v>0</v>
      </c>
      <c r="H131" s="43">
        <v>1</v>
      </c>
      <c r="I131" s="44">
        <v>20</v>
      </c>
      <c r="J131" s="49" t="str">
        <f t="shared" ref="J131:J194" si="9">IF(ABS(G131) &lt; 0.01,"TAK","NIE")</f>
        <v>TAK</v>
      </c>
      <c r="K131" s="42" t="s">
        <v>22</v>
      </c>
      <c r="L131" s="42" t="s">
        <v>22</v>
      </c>
      <c r="M131" s="42" t="s">
        <v>22</v>
      </c>
      <c r="N131" s="43">
        <v>1</v>
      </c>
      <c r="O131" s="44">
        <v>28</v>
      </c>
      <c r="P131" s="49" t="e">
        <f t="shared" ref="P131:P194" si="10">IF(ABS(M131) &lt; 0.01,"TAK","NIE")</f>
        <v>#VALUE!</v>
      </c>
      <c r="Q131" s="40">
        <v>1.7475670000000001</v>
      </c>
      <c r="R131" s="43">
        <v>-0.87351299999999998</v>
      </c>
      <c r="S131" s="43">
        <v>0.29863899999999999</v>
      </c>
      <c r="T131" s="43">
        <v>1</v>
      </c>
      <c r="U131" s="43">
        <v>31</v>
      </c>
      <c r="V131" s="44">
        <v>31</v>
      </c>
      <c r="W131" s="49" t="str">
        <f t="shared" ref="W131:W194" si="11">IF(ABS(S131) &lt; 0.01,"TAK","NIE")</f>
        <v>NIE</v>
      </c>
    </row>
    <row r="132" spans="1:23" x14ac:dyDescent="0.3">
      <c r="A132" s="68"/>
      <c r="B132" s="24">
        <v>29</v>
      </c>
      <c r="C132" s="40">
        <v>1.894822</v>
      </c>
      <c r="D132" s="41">
        <v>0.99313799999999997</v>
      </c>
      <c r="E132" s="42">
        <v>4.6E-5</v>
      </c>
      <c r="F132" s="43">
        <v>-1.12E-4</v>
      </c>
      <c r="G132" s="43">
        <v>0</v>
      </c>
      <c r="H132" s="43">
        <v>1</v>
      </c>
      <c r="I132" s="44">
        <v>18</v>
      </c>
      <c r="J132" s="49" t="str">
        <f t="shared" si="9"/>
        <v>TAK</v>
      </c>
      <c r="K132" s="42">
        <v>1.6000000000000001E-4</v>
      </c>
      <c r="L132" s="42">
        <v>-2.43E-4</v>
      </c>
      <c r="M132" s="42">
        <v>0</v>
      </c>
      <c r="N132" s="43">
        <v>1</v>
      </c>
      <c r="O132" s="44">
        <v>44</v>
      </c>
      <c r="P132" s="49" t="str">
        <f t="shared" si="10"/>
        <v>TAK</v>
      </c>
      <c r="Q132" s="40">
        <v>1.747584</v>
      </c>
      <c r="R132" s="43">
        <v>-0.87353199999999998</v>
      </c>
      <c r="S132" s="43">
        <v>0.29863899999999999</v>
      </c>
      <c r="T132" s="43">
        <v>1</v>
      </c>
      <c r="U132" s="43">
        <v>31</v>
      </c>
      <c r="V132" s="44">
        <v>31</v>
      </c>
      <c r="W132" s="49" t="str">
        <f t="shared" si="11"/>
        <v>NIE</v>
      </c>
    </row>
    <row r="133" spans="1:23" x14ac:dyDescent="0.3">
      <c r="A133" s="68"/>
      <c r="B133" s="24">
        <v>30</v>
      </c>
      <c r="C133" s="40">
        <v>1.0762020000000001</v>
      </c>
      <c r="D133" s="41">
        <v>0.74642799999999998</v>
      </c>
      <c r="E133" s="42">
        <v>3.6000000000000001E-5</v>
      </c>
      <c r="F133" s="43">
        <v>-8.7000000000000001E-5</v>
      </c>
      <c r="G133" s="43">
        <v>0</v>
      </c>
      <c r="H133" s="43">
        <v>1</v>
      </c>
      <c r="I133" s="44">
        <v>18</v>
      </c>
      <c r="J133" s="49" t="str">
        <f t="shared" si="9"/>
        <v>TAK</v>
      </c>
      <c r="K133" s="42">
        <v>-5.8999999999999998E-5</v>
      </c>
      <c r="L133" s="42">
        <v>9.7E-5</v>
      </c>
      <c r="M133" s="42">
        <v>0</v>
      </c>
      <c r="N133" s="43">
        <v>1</v>
      </c>
      <c r="O133" s="44">
        <v>29</v>
      </c>
      <c r="P133" s="49" t="str">
        <f t="shared" si="10"/>
        <v>TAK</v>
      </c>
      <c r="Q133" s="40">
        <v>1.070543</v>
      </c>
      <c r="R133" s="43">
        <v>-0.53504200000000002</v>
      </c>
      <c r="S133" s="43">
        <v>0.87736199999999998</v>
      </c>
      <c r="T133" s="43">
        <v>1</v>
      </c>
      <c r="U133" s="43">
        <v>30</v>
      </c>
      <c r="V133" s="44">
        <v>30</v>
      </c>
      <c r="W133" s="49" t="str">
        <f t="shared" si="11"/>
        <v>NIE</v>
      </c>
    </row>
    <row r="134" spans="1:23" x14ac:dyDescent="0.3">
      <c r="A134" s="68"/>
      <c r="B134" s="24">
        <v>31</v>
      </c>
      <c r="C134" s="40">
        <v>1.347601</v>
      </c>
      <c r="D134" s="41">
        <v>0.50597899999999996</v>
      </c>
      <c r="E134" s="42" t="s">
        <v>30</v>
      </c>
      <c r="F134" s="43" t="s">
        <v>30</v>
      </c>
      <c r="G134" s="43" t="s">
        <v>30</v>
      </c>
      <c r="H134" s="43" t="s">
        <v>30</v>
      </c>
      <c r="I134" s="44" t="s">
        <v>30</v>
      </c>
      <c r="J134" s="49" t="e">
        <f t="shared" si="9"/>
        <v>#VALUE!</v>
      </c>
      <c r="K134" s="42" t="s">
        <v>22</v>
      </c>
      <c r="L134" s="42" t="s">
        <v>22</v>
      </c>
      <c r="M134" s="42" t="s">
        <v>22</v>
      </c>
      <c r="N134" s="43">
        <v>1</v>
      </c>
      <c r="O134" s="44">
        <v>28</v>
      </c>
      <c r="P134" s="49" t="e">
        <f t="shared" si="10"/>
        <v>#VALUE!</v>
      </c>
      <c r="Q134" s="40">
        <v>1.0705979999999999</v>
      </c>
      <c r="R134" s="43">
        <v>-0.53501799999999999</v>
      </c>
      <c r="S134" s="43">
        <v>0.87736199999999998</v>
      </c>
      <c r="T134" s="43">
        <v>1</v>
      </c>
      <c r="U134" s="43">
        <v>29</v>
      </c>
      <c r="V134" s="44">
        <v>29</v>
      </c>
      <c r="W134" s="49" t="str">
        <f t="shared" si="11"/>
        <v>NIE</v>
      </c>
    </row>
    <row r="135" spans="1:23" x14ac:dyDescent="0.3">
      <c r="A135" s="68"/>
      <c r="B135" s="24">
        <v>32</v>
      </c>
      <c r="C135" s="40">
        <v>0.13297600000000001</v>
      </c>
      <c r="D135" s="41">
        <v>1.1351910000000001</v>
      </c>
      <c r="E135" s="42">
        <v>-4.5000000000000003E-5</v>
      </c>
      <c r="F135" s="43">
        <v>1.08E-4</v>
      </c>
      <c r="G135" s="43">
        <v>0</v>
      </c>
      <c r="H135" s="43">
        <v>1</v>
      </c>
      <c r="I135" s="44">
        <v>18</v>
      </c>
      <c r="J135" s="49" t="str">
        <f t="shared" si="9"/>
        <v>TAK</v>
      </c>
      <c r="K135" s="42">
        <v>-6.9999999999999994E-5</v>
      </c>
      <c r="L135" s="42">
        <v>2.5999999999999998E-4</v>
      </c>
      <c r="M135" s="42">
        <v>0</v>
      </c>
      <c r="N135" s="43">
        <v>1</v>
      </c>
      <c r="O135" s="44">
        <v>26</v>
      </c>
      <c r="P135" s="49" t="str">
        <f t="shared" si="10"/>
        <v>TAK</v>
      </c>
      <c r="Q135" s="40">
        <v>3.1000000000000001E-5</v>
      </c>
      <c r="R135" s="43">
        <v>2.7099999999999997E-4</v>
      </c>
      <c r="S135" s="43">
        <v>0</v>
      </c>
      <c r="T135" s="43">
        <v>1</v>
      </c>
      <c r="U135" s="43">
        <v>29</v>
      </c>
      <c r="V135" s="44">
        <v>29</v>
      </c>
      <c r="W135" s="49" t="str">
        <f t="shared" si="11"/>
        <v>TAK</v>
      </c>
    </row>
    <row r="136" spans="1:23" x14ac:dyDescent="0.3">
      <c r="A136" s="68"/>
      <c r="B136" s="24">
        <v>33</v>
      </c>
      <c r="C136" s="40">
        <v>1.9135059999999999</v>
      </c>
      <c r="D136" s="41">
        <v>1.4464300000000001</v>
      </c>
      <c r="E136" s="42">
        <v>3.8999999999999999E-5</v>
      </c>
      <c r="F136" s="43">
        <v>-9.3999999999999994E-5</v>
      </c>
      <c r="G136" s="43">
        <v>0</v>
      </c>
      <c r="H136" s="43">
        <v>1</v>
      </c>
      <c r="I136" s="44">
        <v>15</v>
      </c>
      <c r="J136" s="49" t="str">
        <f t="shared" si="9"/>
        <v>TAK</v>
      </c>
      <c r="K136" s="42">
        <v>2.9700000000000001E-4</v>
      </c>
      <c r="L136" s="42">
        <v>-4.35E-4</v>
      </c>
      <c r="M136" s="42">
        <v>0</v>
      </c>
      <c r="N136" s="43">
        <v>1</v>
      </c>
      <c r="O136" s="44">
        <v>23</v>
      </c>
      <c r="P136" s="49" t="str">
        <f t="shared" si="10"/>
        <v>TAK</v>
      </c>
      <c r="Q136" s="40">
        <v>1.7475810000000001</v>
      </c>
      <c r="R136" s="43">
        <v>-0.87354900000000002</v>
      </c>
      <c r="S136" s="43">
        <v>0.29863899999999999</v>
      </c>
      <c r="T136" s="43">
        <v>1</v>
      </c>
      <c r="U136" s="43">
        <v>32</v>
      </c>
      <c r="V136" s="44">
        <v>32</v>
      </c>
      <c r="W136" s="49" t="str">
        <f t="shared" si="11"/>
        <v>NIE</v>
      </c>
    </row>
    <row r="137" spans="1:23" x14ac:dyDescent="0.3">
      <c r="A137" s="68"/>
      <c r="B137" s="24">
        <v>34</v>
      </c>
      <c r="C137" s="40">
        <v>0.92812300000000003</v>
      </c>
      <c r="D137" s="41">
        <v>0.344416</v>
      </c>
      <c r="E137" s="42">
        <v>4.8000000000000001E-5</v>
      </c>
      <c r="F137" s="43">
        <v>-1.17E-4</v>
      </c>
      <c r="G137" s="43">
        <v>0</v>
      </c>
      <c r="H137" s="43">
        <v>1</v>
      </c>
      <c r="I137" s="44">
        <v>17</v>
      </c>
      <c r="J137" s="49" t="str">
        <f t="shared" si="9"/>
        <v>TAK</v>
      </c>
      <c r="K137" s="42">
        <v>1.95E-4</v>
      </c>
      <c r="L137" s="42">
        <v>-2.3499999999999999E-4</v>
      </c>
      <c r="M137" s="42">
        <v>0</v>
      </c>
      <c r="N137" s="43">
        <v>1</v>
      </c>
      <c r="O137" s="44">
        <v>26</v>
      </c>
      <c r="P137" s="49" t="str">
        <f t="shared" si="10"/>
        <v>TAK</v>
      </c>
      <c r="Q137" s="40">
        <v>1.0705020000000001</v>
      </c>
      <c r="R137" s="43">
        <v>-0.53499399999999997</v>
      </c>
      <c r="S137" s="43">
        <v>0.87736199999999998</v>
      </c>
      <c r="T137" s="43">
        <v>1</v>
      </c>
      <c r="U137" s="43">
        <v>28</v>
      </c>
      <c r="V137" s="44">
        <v>28</v>
      </c>
      <c r="W137" s="49" t="str">
        <f t="shared" si="11"/>
        <v>NIE</v>
      </c>
    </row>
    <row r="138" spans="1:23" x14ac:dyDescent="0.3">
      <c r="A138" s="68"/>
      <c r="B138" s="24">
        <v>35</v>
      </c>
      <c r="C138" s="40">
        <v>0.16616300000000001</v>
      </c>
      <c r="D138" s="41">
        <v>0.58892900000000004</v>
      </c>
      <c r="E138" s="42">
        <v>-5.7000000000000003E-5</v>
      </c>
      <c r="F138" s="43">
        <v>1.3799999999999999E-4</v>
      </c>
      <c r="G138" s="43">
        <v>0</v>
      </c>
      <c r="H138" s="43">
        <v>1</v>
      </c>
      <c r="I138" s="44">
        <v>16</v>
      </c>
      <c r="J138" s="49" t="str">
        <f t="shared" si="9"/>
        <v>TAK</v>
      </c>
      <c r="K138" s="42">
        <v>-1.18E-4</v>
      </c>
      <c r="L138" s="42">
        <v>3.9199999999999999E-4</v>
      </c>
      <c r="M138" s="42">
        <v>0</v>
      </c>
      <c r="N138" s="43">
        <v>1</v>
      </c>
      <c r="O138" s="44">
        <v>23</v>
      </c>
      <c r="P138" s="49" t="str">
        <f t="shared" si="10"/>
        <v>TAK</v>
      </c>
      <c r="Q138" s="40">
        <v>6.7000000000000002E-5</v>
      </c>
      <c r="R138" s="43">
        <v>2.5099999999999998E-4</v>
      </c>
      <c r="S138" s="43">
        <v>0</v>
      </c>
      <c r="T138" s="43">
        <v>1</v>
      </c>
      <c r="U138" s="43">
        <v>27</v>
      </c>
      <c r="V138" s="44">
        <v>27</v>
      </c>
      <c r="W138" s="49" t="str">
        <f t="shared" si="11"/>
        <v>TAK</v>
      </c>
    </row>
    <row r="139" spans="1:23" x14ac:dyDescent="0.3">
      <c r="A139" s="68"/>
      <c r="B139" s="24">
        <v>36</v>
      </c>
      <c r="C139" s="40">
        <v>1.485144</v>
      </c>
      <c r="D139" s="41">
        <v>0.615004</v>
      </c>
      <c r="E139" s="42" t="s">
        <v>30</v>
      </c>
      <c r="F139" s="43" t="s">
        <v>30</v>
      </c>
      <c r="G139" s="43" t="s">
        <v>30</v>
      </c>
      <c r="H139" s="43" t="s">
        <v>30</v>
      </c>
      <c r="I139" s="44" t="s">
        <v>30</v>
      </c>
      <c r="J139" s="49" t="e">
        <f t="shared" si="9"/>
        <v>#VALUE!</v>
      </c>
      <c r="K139" s="42" t="s">
        <v>22</v>
      </c>
      <c r="L139" s="42" t="s">
        <v>22</v>
      </c>
      <c r="M139" s="42" t="s">
        <v>22</v>
      </c>
      <c r="N139" s="43">
        <v>1</v>
      </c>
      <c r="O139" s="44">
        <v>22</v>
      </c>
      <c r="P139" s="49" t="e">
        <f t="shared" si="10"/>
        <v>#VALUE!</v>
      </c>
      <c r="Q139" s="40">
        <v>1.747762</v>
      </c>
      <c r="R139" s="43">
        <v>-0.87388100000000002</v>
      </c>
      <c r="S139" s="43">
        <v>0.29863899999999999</v>
      </c>
      <c r="T139" s="43">
        <v>1</v>
      </c>
      <c r="U139" s="43">
        <v>69</v>
      </c>
      <c r="V139" s="44">
        <v>69</v>
      </c>
      <c r="W139" s="49" t="str">
        <f t="shared" si="11"/>
        <v>NIE</v>
      </c>
    </row>
    <row r="140" spans="1:23" x14ac:dyDescent="0.3">
      <c r="A140" s="68"/>
      <c r="B140" s="24">
        <v>37</v>
      </c>
      <c r="C140" s="40">
        <v>1.5952649999999999</v>
      </c>
      <c r="D140" s="41">
        <v>1.4017820000000001</v>
      </c>
      <c r="E140" s="42" t="s">
        <v>30</v>
      </c>
      <c r="F140" s="43" t="s">
        <v>30</v>
      </c>
      <c r="G140" s="43" t="s">
        <v>30</v>
      </c>
      <c r="H140" s="43" t="s">
        <v>30</v>
      </c>
      <c r="I140" s="44" t="s">
        <v>30</v>
      </c>
      <c r="J140" s="49" t="e">
        <f t="shared" si="9"/>
        <v>#VALUE!</v>
      </c>
      <c r="K140" s="42" t="s">
        <v>22</v>
      </c>
      <c r="L140" s="42" t="s">
        <v>22</v>
      </c>
      <c r="M140" s="42" t="s">
        <v>22</v>
      </c>
      <c r="N140" s="43">
        <v>1</v>
      </c>
      <c r="O140" s="44">
        <v>22</v>
      </c>
      <c r="P140" s="49" t="e">
        <f t="shared" si="10"/>
        <v>#VALUE!</v>
      </c>
      <c r="Q140" s="40">
        <v>1.7475419999999999</v>
      </c>
      <c r="R140" s="43">
        <v>-0.87347600000000003</v>
      </c>
      <c r="S140" s="43">
        <v>0.29863899999999999</v>
      </c>
      <c r="T140" s="43">
        <v>1</v>
      </c>
      <c r="U140" s="43">
        <v>31</v>
      </c>
      <c r="V140" s="44">
        <v>31</v>
      </c>
      <c r="W140" s="49" t="str">
        <f t="shared" si="11"/>
        <v>NIE</v>
      </c>
    </row>
    <row r="141" spans="1:23" x14ac:dyDescent="0.3">
      <c r="A141" s="68"/>
      <c r="B141" s="24">
        <v>38</v>
      </c>
      <c r="C141" s="40">
        <v>1.5469949999999999</v>
      </c>
      <c r="D141" s="41">
        <v>0.41819499999999998</v>
      </c>
      <c r="E141" s="42" t="s">
        <v>30</v>
      </c>
      <c r="F141" s="43" t="s">
        <v>30</v>
      </c>
      <c r="G141" s="43" t="s">
        <v>30</v>
      </c>
      <c r="H141" s="43" t="s">
        <v>30</v>
      </c>
      <c r="I141" s="44" t="s">
        <v>30</v>
      </c>
      <c r="J141" s="49" t="e">
        <f t="shared" si="9"/>
        <v>#VALUE!</v>
      </c>
      <c r="K141" s="42" t="s">
        <v>22</v>
      </c>
      <c r="L141" s="42" t="s">
        <v>22</v>
      </c>
      <c r="M141" s="42" t="s">
        <v>22</v>
      </c>
      <c r="N141" s="43">
        <v>1</v>
      </c>
      <c r="O141" s="44">
        <v>40</v>
      </c>
      <c r="P141" s="49" t="e">
        <f t="shared" si="10"/>
        <v>#VALUE!</v>
      </c>
      <c r="Q141" s="40">
        <v>1.747541</v>
      </c>
      <c r="R141" s="43">
        <v>-0.87348700000000001</v>
      </c>
      <c r="S141" s="43">
        <v>0.29863899999999999</v>
      </c>
      <c r="T141" s="43">
        <v>1</v>
      </c>
      <c r="U141" s="43">
        <v>29</v>
      </c>
      <c r="V141" s="44">
        <v>29</v>
      </c>
      <c r="W141" s="49" t="str">
        <f t="shared" si="11"/>
        <v>NIE</v>
      </c>
    </row>
    <row r="142" spans="1:23" x14ac:dyDescent="0.3">
      <c r="A142" s="68"/>
      <c r="B142" s="24">
        <v>39</v>
      </c>
      <c r="C142" s="40">
        <v>1.366493</v>
      </c>
      <c r="D142" s="41">
        <v>0.131577</v>
      </c>
      <c r="E142" s="42" t="s">
        <v>30</v>
      </c>
      <c r="F142" s="43" t="s">
        <v>30</v>
      </c>
      <c r="G142" s="43" t="s">
        <v>30</v>
      </c>
      <c r="H142" s="43" t="s">
        <v>30</v>
      </c>
      <c r="I142" s="44" t="s">
        <v>30</v>
      </c>
      <c r="J142" s="49" t="e">
        <f t="shared" si="9"/>
        <v>#VALUE!</v>
      </c>
      <c r="K142" s="42" t="s">
        <v>22</v>
      </c>
      <c r="L142" s="42" t="e" cm="1">
        <f t="array" ref="L142">-inf</f>
        <v>#NAME?</v>
      </c>
      <c r="M142" s="42" t="s">
        <v>22</v>
      </c>
      <c r="N142" s="43">
        <v>1</v>
      </c>
      <c r="O142" s="44">
        <v>49</v>
      </c>
      <c r="P142" s="49" t="e">
        <f t="shared" si="10"/>
        <v>#VALUE!</v>
      </c>
      <c r="Q142" s="40">
        <v>1.0706169999999999</v>
      </c>
      <c r="R142" s="43">
        <v>-0.53505000000000003</v>
      </c>
      <c r="S142" s="43">
        <v>0.87736199999999998</v>
      </c>
      <c r="T142" s="43">
        <v>1</v>
      </c>
      <c r="U142" s="43">
        <v>28</v>
      </c>
      <c r="V142" s="44">
        <v>28</v>
      </c>
      <c r="W142" s="49" t="str">
        <f t="shared" si="11"/>
        <v>NIE</v>
      </c>
    </row>
    <row r="143" spans="1:23" x14ac:dyDescent="0.3">
      <c r="A143" s="68"/>
      <c r="B143" s="24">
        <v>40</v>
      </c>
      <c r="C143" s="40">
        <v>1.4131499999999999</v>
      </c>
      <c r="D143" s="41">
        <v>1.502535</v>
      </c>
      <c r="E143" s="42">
        <v>4.3000000000000002E-5</v>
      </c>
      <c r="F143" s="43">
        <v>-1.03E-4</v>
      </c>
      <c r="G143" s="43">
        <v>0</v>
      </c>
      <c r="H143" s="43">
        <v>1</v>
      </c>
      <c r="I143" s="44">
        <v>22</v>
      </c>
      <c r="J143" s="49" t="str">
        <f t="shared" si="9"/>
        <v>TAK</v>
      </c>
      <c r="K143" s="42" t="s">
        <v>22</v>
      </c>
      <c r="L143" s="42" t="s">
        <v>22</v>
      </c>
      <c r="M143" s="42" t="s">
        <v>22</v>
      </c>
      <c r="N143" s="43">
        <v>1</v>
      </c>
      <c r="O143" s="44">
        <v>25</v>
      </c>
      <c r="P143" s="49" t="e">
        <f t="shared" si="10"/>
        <v>#VALUE!</v>
      </c>
      <c r="Q143" s="40">
        <v>1.07057</v>
      </c>
      <c r="R143" s="43">
        <v>-0.53498900000000005</v>
      </c>
      <c r="S143" s="43">
        <v>0.87736199999999998</v>
      </c>
      <c r="T143" s="43">
        <v>1</v>
      </c>
      <c r="U143" s="43">
        <v>31</v>
      </c>
      <c r="V143" s="44">
        <v>31</v>
      </c>
      <c r="W143" s="49" t="str">
        <f t="shared" si="11"/>
        <v>NIE</v>
      </c>
    </row>
    <row r="144" spans="1:23" x14ac:dyDescent="0.3">
      <c r="A144" s="68"/>
      <c r="B144" s="24">
        <v>41</v>
      </c>
      <c r="C144" s="40">
        <v>5.0582000000000002E-2</v>
      </c>
      <c r="D144" s="41">
        <v>0.12420399999999999</v>
      </c>
      <c r="E144" s="42">
        <v>-5.1E-5</v>
      </c>
      <c r="F144" s="43">
        <v>1.2400000000000001E-4</v>
      </c>
      <c r="G144" s="43">
        <v>0</v>
      </c>
      <c r="H144" s="43">
        <v>1</v>
      </c>
      <c r="I144" s="44">
        <v>13</v>
      </c>
      <c r="J144" s="49" t="str">
        <f t="shared" si="9"/>
        <v>TAK</v>
      </c>
      <c r="K144" s="42">
        <v>-3.3300000000000002E-4</v>
      </c>
      <c r="L144" s="42">
        <v>5.2700000000000002E-4</v>
      </c>
      <c r="M144" s="42">
        <v>0</v>
      </c>
      <c r="N144" s="43">
        <v>1</v>
      </c>
      <c r="O144" s="44">
        <v>17</v>
      </c>
      <c r="P144" s="49" t="str">
        <f t="shared" si="10"/>
        <v>TAK</v>
      </c>
      <c r="Q144" s="40">
        <v>9.0000000000000006E-5</v>
      </c>
      <c r="R144" s="43">
        <v>2.22E-4</v>
      </c>
      <c r="S144" s="43">
        <v>0</v>
      </c>
      <c r="T144" s="43">
        <v>1</v>
      </c>
      <c r="U144" s="43">
        <v>22</v>
      </c>
      <c r="V144" s="44">
        <v>22</v>
      </c>
      <c r="W144" s="49" t="str">
        <f t="shared" si="11"/>
        <v>TAK</v>
      </c>
    </row>
    <row r="145" spans="1:23" x14ac:dyDescent="0.3">
      <c r="A145" s="68"/>
      <c r="B145" s="24">
        <v>42</v>
      </c>
      <c r="C145" s="40">
        <v>1.3395919999999999</v>
      </c>
      <c r="D145" s="41">
        <v>0.13270799999999999</v>
      </c>
      <c r="E145" s="42" t="s">
        <v>30</v>
      </c>
      <c r="F145" s="43" t="s">
        <v>30</v>
      </c>
      <c r="G145" s="43" t="s">
        <v>30</v>
      </c>
      <c r="H145" s="43" t="s">
        <v>30</v>
      </c>
      <c r="I145" s="44" t="s">
        <v>30</v>
      </c>
      <c r="J145" s="49" t="e">
        <f t="shared" si="9"/>
        <v>#VALUE!</v>
      </c>
      <c r="K145" s="42" t="s">
        <v>22</v>
      </c>
      <c r="L145" s="42" t="e" cm="1">
        <f t="array" ref="L145">-inf</f>
        <v>#NAME?</v>
      </c>
      <c r="M145" s="42" t="s">
        <v>22</v>
      </c>
      <c r="N145" s="43">
        <v>1</v>
      </c>
      <c r="O145" s="44">
        <v>19</v>
      </c>
      <c r="P145" s="49" t="e">
        <f t="shared" si="10"/>
        <v>#VALUE!</v>
      </c>
      <c r="Q145" s="40">
        <v>1.070616</v>
      </c>
      <c r="R145" s="43">
        <v>-0.535053</v>
      </c>
      <c r="S145" s="43">
        <v>0.87736199999999998</v>
      </c>
      <c r="T145" s="43">
        <v>1</v>
      </c>
      <c r="U145" s="43">
        <v>28</v>
      </c>
      <c r="V145" s="44">
        <v>28</v>
      </c>
      <c r="W145" s="49" t="str">
        <f t="shared" si="11"/>
        <v>NIE</v>
      </c>
    </row>
    <row r="146" spans="1:23" x14ac:dyDescent="0.3">
      <c r="A146" s="68"/>
      <c r="B146" s="24">
        <v>43</v>
      </c>
      <c r="C146" s="40">
        <v>0.36841099999999999</v>
      </c>
      <c r="D146" s="41">
        <v>0.22283900000000001</v>
      </c>
      <c r="E146" s="42">
        <v>-4.8000000000000001E-5</v>
      </c>
      <c r="F146" s="43">
        <v>1.17E-4</v>
      </c>
      <c r="G146" s="43">
        <v>0</v>
      </c>
      <c r="H146" s="43">
        <v>1</v>
      </c>
      <c r="I146" s="44">
        <v>11</v>
      </c>
      <c r="J146" s="49" t="str">
        <f t="shared" si="9"/>
        <v>TAK</v>
      </c>
      <c r="K146" s="42">
        <v>-1.76E-4</v>
      </c>
      <c r="L146" s="42">
        <v>5.8200000000000005E-4</v>
      </c>
      <c r="M146" s="42">
        <v>0</v>
      </c>
      <c r="N146" s="43">
        <v>1</v>
      </c>
      <c r="O146" s="44">
        <v>14</v>
      </c>
      <c r="P146" s="49" t="str">
        <f t="shared" si="10"/>
        <v>TAK</v>
      </c>
      <c r="Q146" s="40">
        <v>2.04E-4</v>
      </c>
      <c r="R146" s="43">
        <v>2.04E-4</v>
      </c>
      <c r="S146" s="43">
        <v>0</v>
      </c>
      <c r="T146" s="43">
        <v>1</v>
      </c>
      <c r="U146" s="43">
        <v>25</v>
      </c>
      <c r="V146" s="44">
        <v>25</v>
      </c>
      <c r="W146" s="49" t="str">
        <f t="shared" si="11"/>
        <v>TAK</v>
      </c>
    </row>
    <row r="147" spans="1:23" x14ac:dyDescent="0.3">
      <c r="A147" s="68"/>
      <c r="B147" s="24">
        <v>44</v>
      </c>
      <c r="C147" s="40">
        <v>0.1236</v>
      </c>
      <c r="D147" s="41">
        <v>1.3935569999999999</v>
      </c>
      <c r="E147" s="42">
        <v>-5.5999999999999999E-5</v>
      </c>
      <c r="F147" s="43">
        <v>1.36E-4</v>
      </c>
      <c r="G147" s="43">
        <v>0</v>
      </c>
      <c r="H147" s="43">
        <v>1</v>
      </c>
      <c r="I147" s="44">
        <v>18</v>
      </c>
      <c r="J147" s="49" t="str">
        <f t="shared" si="9"/>
        <v>TAK</v>
      </c>
      <c r="K147" s="42">
        <v>-6.0999999999999999E-5</v>
      </c>
      <c r="L147" s="42">
        <v>3.1100000000000002E-4</v>
      </c>
      <c r="M147" s="42">
        <v>0</v>
      </c>
      <c r="N147" s="43">
        <v>1</v>
      </c>
      <c r="O147" s="44">
        <v>26</v>
      </c>
      <c r="P147" s="49" t="str">
        <f t="shared" si="10"/>
        <v>TAK</v>
      </c>
      <c r="Q147" s="40">
        <v>2.0999999999999999E-5</v>
      </c>
      <c r="R147" s="43">
        <v>2.4899999999999998E-4</v>
      </c>
      <c r="S147" s="43">
        <v>0</v>
      </c>
      <c r="T147" s="43">
        <v>1</v>
      </c>
      <c r="U147" s="43">
        <v>30</v>
      </c>
      <c r="V147" s="44">
        <v>30</v>
      </c>
      <c r="W147" s="49" t="str">
        <f t="shared" si="11"/>
        <v>TAK</v>
      </c>
    </row>
    <row r="148" spans="1:23" x14ac:dyDescent="0.3">
      <c r="A148" s="68"/>
      <c r="B148" s="24">
        <v>45</v>
      </c>
      <c r="C148" s="40">
        <v>7.9472000000000001E-2</v>
      </c>
      <c r="D148" s="41">
        <v>1.4322220000000001</v>
      </c>
      <c r="E148" s="42">
        <v>-3.6000000000000001E-5</v>
      </c>
      <c r="F148" s="43">
        <v>8.6000000000000003E-5</v>
      </c>
      <c r="G148" s="43">
        <v>0</v>
      </c>
      <c r="H148" s="43">
        <v>1</v>
      </c>
      <c r="I148" s="44">
        <v>19</v>
      </c>
      <c r="J148" s="49" t="str">
        <f t="shared" si="9"/>
        <v>TAK</v>
      </c>
      <c r="K148" s="42">
        <v>-5.3000000000000001E-5</v>
      </c>
      <c r="L148" s="42">
        <v>3.1399999999999999E-4</v>
      </c>
      <c r="M148" s="42">
        <v>0</v>
      </c>
      <c r="N148" s="43">
        <v>1</v>
      </c>
      <c r="O148" s="44">
        <v>26</v>
      </c>
      <c r="P148" s="49" t="str">
        <f t="shared" si="10"/>
        <v>TAK</v>
      </c>
      <c r="Q148" s="40">
        <v>1.4E-5</v>
      </c>
      <c r="R148" s="43">
        <v>2.5599999999999999E-4</v>
      </c>
      <c r="S148" s="43">
        <v>0</v>
      </c>
      <c r="T148" s="43">
        <v>1</v>
      </c>
      <c r="U148" s="43">
        <v>30</v>
      </c>
      <c r="V148" s="44">
        <v>30</v>
      </c>
      <c r="W148" s="49" t="str">
        <f t="shared" si="11"/>
        <v>TAK</v>
      </c>
    </row>
    <row r="149" spans="1:23" x14ac:dyDescent="0.3">
      <c r="A149" s="68"/>
      <c r="B149" s="24">
        <v>46</v>
      </c>
      <c r="C149" s="40">
        <v>0.96207299999999996</v>
      </c>
      <c r="D149" s="41">
        <v>1.794146</v>
      </c>
      <c r="E149" s="42">
        <v>-5.8E-5</v>
      </c>
      <c r="F149" s="43">
        <v>1.3999999999999999E-4</v>
      </c>
      <c r="G149" s="43">
        <v>0</v>
      </c>
      <c r="H149" s="43">
        <v>1</v>
      </c>
      <c r="I149" s="44">
        <v>17</v>
      </c>
      <c r="J149" s="49" t="str">
        <f t="shared" si="9"/>
        <v>TAK</v>
      </c>
      <c r="K149" s="42">
        <v>-4.3999999999999999E-5</v>
      </c>
      <c r="L149" s="42">
        <v>-2.9700000000000001E-4</v>
      </c>
      <c r="M149" s="42">
        <v>0</v>
      </c>
      <c r="N149" s="43">
        <v>1</v>
      </c>
      <c r="O149" s="44">
        <v>29</v>
      </c>
      <c r="P149" s="49" t="str">
        <f t="shared" si="10"/>
        <v>TAK</v>
      </c>
      <c r="Q149" s="40">
        <v>1.070532</v>
      </c>
      <c r="R149" s="43">
        <v>-0.53503800000000001</v>
      </c>
      <c r="S149" s="43">
        <v>0.87736199999999998</v>
      </c>
      <c r="T149" s="43">
        <v>1</v>
      </c>
      <c r="U149" s="43">
        <v>32</v>
      </c>
      <c r="V149" s="44">
        <v>32</v>
      </c>
      <c r="W149" s="49" t="str">
        <f t="shared" si="11"/>
        <v>NIE</v>
      </c>
    </row>
    <row r="150" spans="1:23" x14ac:dyDescent="0.3">
      <c r="A150" s="68"/>
      <c r="B150" s="24">
        <v>47</v>
      </c>
      <c r="C150" s="40">
        <v>1.83169</v>
      </c>
      <c r="D150" s="41">
        <v>5.9569999999999996E-3</v>
      </c>
      <c r="E150" s="42" t="s">
        <v>30</v>
      </c>
      <c r="F150" s="43" t="s">
        <v>30</v>
      </c>
      <c r="G150" s="43" t="s">
        <v>30</v>
      </c>
      <c r="H150" s="43" t="s">
        <v>30</v>
      </c>
      <c r="I150" s="44" t="s">
        <v>30</v>
      </c>
      <c r="J150" s="49" t="e">
        <f t="shared" si="9"/>
        <v>#VALUE!</v>
      </c>
      <c r="K150" s="42" t="s">
        <v>22</v>
      </c>
      <c r="L150" s="42" t="s">
        <v>22</v>
      </c>
      <c r="M150" s="42" t="s">
        <v>22</v>
      </c>
      <c r="N150" s="43">
        <v>1</v>
      </c>
      <c r="O150" s="44">
        <v>19</v>
      </c>
      <c r="P150" s="49" t="e">
        <f t="shared" si="10"/>
        <v>#VALUE!</v>
      </c>
      <c r="Q150" s="40">
        <v>1.7475879999999999</v>
      </c>
      <c r="R150" s="43">
        <v>-0.87350099999999997</v>
      </c>
      <c r="S150" s="43">
        <v>0.29863899999999999</v>
      </c>
      <c r="T150" s="43">
        <v>1</v>
      </c>
      <c r="U150" s="43">
        <v>28</v>
      </c>
      <c r="V150" s="44">
        <v>28</v>
      </c>
      <c r="W150" s="49" t="str">
        <f t="shared" si="11"/>
        <v>NIE</v>
      </c>
    </row>
    <row r="151" spans="1:23" x14ac:dyDescent="0.3">
      <c r="A151" s="68"/>
      <c r="B151" s="24">
        <v>48</v>
      </c>
      <c r="C151" s="40">
        <v>1.4027700000000001</v>
      </c>
      <c r="D151" s="41">
        <v>1.7926880000000001</v>
      </c>
      <c r="E151" s="42">
        <v>3.4999999999999997E-5</v>
      </c>
      <c r="F151" s="43">
        <v>-8.5000000000000006E-5</v>
      </c>
      <c r="G151" s="43">
        <v>0</v>
      </c>
      <c r="H151" s="43">
        <v>1</v>
      </c>
      <c r="I151" s="44">
        <v>20</v>
      </c>
      <c r="J151" s="49" t="str">
        <f t="shared" si="9"/>
        <v>TAK</v>
      </c>
      <c r="K151" s="42" t="s">
        <v>22</v>
      </c>
      <c r="L151" s="42" t="s">
        <v>22</v>
      </c>
      <c r="M151" s="42" t="s">
        <v>22</v>
      </c>
      <c r="N151" s="43">
        <v>1</v>
      </c>
      <c r="O151" s="44">
        <v>28</v>
      </c>
      <c r="P151" s="49" t="e">
        <f t="shared" si="10"/>
        <v>#VALUE!</v>
      </c>
      <c r="Q151" s="40">
        <v>1.070565</v>
      </c>
      <c r="R151" s="43">
        <v>-0.53503199999999995</v>
      </c>
      <c r="S151" s="43">
        <v>0.87736199999999998</v>
      </c>
      <c r="T151" s="43">
        <v>1</v>
      </c>
      <c r="U151" s="43">
        <v>32</v>
      </c>
      <c r="V151" s="44">
        <v>32</v>
      </c>
      <c r="W151" s="49" t="str">
        <f t="shared" si="11"/>
        <v>NIE</v>
      </c>
    </row>
    <row r="152" spans="1:23" x14ac:dyDescent="0.3">
      <c r="A152" s="68"/>
      <c r="B152" s="24">
        <v>49</v>
      </c>
      <c r="C152" s="40">
        <v>1.599912</v>
      </c>
      <c r="D152" s="41">
        <v>0.51156299999999999</v>
      </c>
      <c r="E152" s="42" t="s">
        <v>30</v>
      </c>
      <c r="F152" s="43" t="s">
        <v>30</v>
      </c>
      <c r="G152" s="43" t="s">
        <v>30</v>
      </c>
      <c r="H152" s="43" t="s">
        <v>30</v>
      </c>
      <c r="I152" s="44" t="s">
        <v>30</v>
      </c>
      <c r="J152" s="49" t="e">
        <f t="shared" si="9"/>
        <v>#VALUE!</v>
      </c>
      <c r="K152" s="42" t="s">
        <v>22</v>
      </c>
      <c r="L152" s="42" t="s">
        <v>22</v>
      </c>
      <c r="M152" s="42" t="s">
        <v>22</v>
      </c>
      <c r="N152" s="43">
        <v>1</v>
      </c>
      <c r="O152" s="44">
        <v>31</v>
      </c>
      <c r="P152" s="49" t="e">
        <f t="shared" si="10"/>
        <v>#VALUE!</v>
      </c>
      <c r="Q152" s="40">
        <v>1.747539</v>
      </c>
      <c r="R152" s="43">
        <v>-0.87353499999999995</v>
      </c>
      <c r="S152" s="43">
        <v>0.29863800000000001</v>
      </c>
      <c r="T152" s="43">
        <v>1</v>
      </c>
      <c r="U152" s="43">
        <v>30</v>
      </c>
      <c r="V152" s="44">
        <v>30</v>
      </c>
      <c r="W152" s="49" t="str">
        <f t="shared" si="11"/>
        <v>NIE</v>
      </c>
    </row>
    <row r="153" spans="1:23" x14ac:dyDescent="0.3">
      <c r="A153" s="68"/>
      <c r="B153" s="24">
        <v>50</v>
      </c>
      <c r="C153" s="40">
        <v>0.16148999999999999</v>
      </c>
      <c r="D153" s="41">
        <v>1.1573720000000001</v>
      </c>
      <c r="E153" s="42">
        <v>-4.5000000000000003E-5</v>
      </c>
      <c r="F153" s="43">
        <v>1.0900000000000001E-4</v>
      </c>
      <c r="G153" s="43">
        <v>0</v>
      </c>
      <c r="H153" s="43">
        <v>1</v>
      </c>
      <c r="I153" s="44">
        <v>18</v>
      </c>
      <c r="J153" s="49" t="str">
        <f t="shared" si="9"/>
        <v>TAK</v>
      </c>
      <c r="K153" s="42">
        <v>-7.2999999999999999E-5</v>
      </c>
      <c r="L153" s="42">
        <v>2.6699999999999998E-4</v>
      </c>
      <c r="M153" s="42">
        <v>0</v>
      </c>
      <c r="N153" s="43">
        <v>1</v>
      </c>
      <c r="O153" s="44">
        <v>26</v>
      </c>
      <c r="P153" s="49" t="str">
        <f t="shared" si="10"/>
        <v>TAK</v>
      </c>
      <c r="Q153" s="40">
        <v>3.6999999999999998E-5</v>
      </c>
      <c r="R153" s="43">
        <v>2.7599999999999999E-4</v>
      </c>
      <c r="S153" s="43">
        <v>0</v>
      </c>
      <c r="T153" s="43">
        <v>1</v>
      </c>
      <c r="U153" s="43">
        <v>29</v>
      </c>
      <c r="V153" s="44">
        <v>29</v>
      </c>
      <c r="W153" s="49" t="str">
        <f t="shared" si="11"/>
        <v>TAK</v>
      </c>
    </row>
    <row r="154" spans="1:23" x14ac:dyDescent="0.3">
      <c r="A154" s="68"/>
      <c r="B154" s="24">
        <v>51</v>
      </c>
      <c r="C154" s="40">
        <v>0.67320599999999997</v>
      </c>
      <c r="D154" s="41">
        <v>0.54784999999999995</v>
      </c>
      <c r="E154" s="42">
        <v>-5.7000000000000003E-5</v>
      </c>
      <c r="F154" s="43">
        <v>1.3799999999999999E-4</v>
      </c>
      <c r="G154" s="43">
        <v>0</v>
      </c>
      <c r="H154" s="43">
        <v>1</v>
      </c>
      <c r="I154" s="44">
        <v>12</v>
      </c>
      <c r="J154" s="49" t="str">
        <f t="shared" si="9"/>
        <v>TAK</v>
      </c>
      <c r="K154" s="42">
        <v>2.1000000000000001E-4</v>
      </c>
      <c r="L154" s="42">
        <v>-9.1000000000000003E-5</v>
      </c>
      <c r="M154" s="42">
        <v>0</v>
      </c>
      <c r="N154" s="43">
        <v>1</v>
      </c>
      <c r="O154" s="44">
        <v>23</v>
      </c>
      <c r="P154" s="49" t="str">
        <f t="shared" si="10"/>
        <v>TAK</v>
      </c>
      <c r="Q154" s="40">
        <v>1.0705020000000001</v>
      </c>
      <c r="R154" s="43">
        <v>-0.53503999999999996</v>
      </c>
      <c r="S154" s="43">
        <v>0.87736199999999998</v>
      </c>
      <c r="T154" s="43">
        <v>1</v>
      </c>
      <c r="U154" s="43">
        <v>29</v>
      </c>
      <c r="V154" s="44">
        <v>29</v>
      </c>
      <c r="W154" s="49" t="str">
        <f t="shared" si="11"/>
        <v>NIE</v>
      </c>
    </row>
    <row r="155" spans="1:23" x14ac:dyDescent="0.3">
      <c r="A155" s="68"/>
      <c r="B155" s="24">
        <v>52</v>
      </c>
      <c r="C155" s="40">
        <v>0.260268</v>
      </c>
      <c r="D155" s="41">
        <v>0.235149</v>
      </c>
      <c r="E155" s="42">
        <v>-5.7000000000000003E-5</v>
      </c>
      <c r="F155" s="43">
        <v>1.3799999999999999E-4</v>
      </c>
      <c r="G155" s="43">
        <v>0</v>
      </c>
      <c r="H155" s="43">
        <v>1</v>
      </c>
      <c r="I155" s="44">
        <v>13</v>
      </c>
      <c r="J155" s="49" t="str">
        <f t="shared" si="9"/>
        <v>TAK</v>
      </c>
      <c r="K155" s="42">
        <v>-5.5000000000000002E-5</v>
      </c>
      <c r="L155" s="42">
        <v>2.3699999999999999E-4</v>
      </c>
      <c r="M155" s="42">
        <v>0</v>
      </c>
      <c r="N155" s="43">
        <v>1</v>
      </c>
      <c r="O155" s="44">
        <v>20</v>
      </c>
      <c r="P155" s="49" t="str">
        <f t="shared" si="10"/>
        <v>TAK</v>
      </c>
      <c r="Q155" s="40">
        <v>1.7100000000000001E-4</v>
      </c>
      <c r="R155" s="43">
        <v>1.8900000000000001E-4</v>
      </c>
      <c r="S155" s="43">
        <v>0</v>
      </c>
      <c r="T155" s="43">
        <v>1</v>
      </c>
      <c r="U155" s="43">
        <v>25</v>
      </c>
      <c r="V155" s="44">
        <v>25</v>
      </c>
      <c r="W155" s="49" t="str">
        <f t="shared" si="11"/>
        <v>TAK</v>
      </c>
    </row>
    <row r="156" spans="1:23" x14ac:dyDescent="0.3">
      <c r="A156" s="68"/>
      <c r="B156" s="24">
        <v>53</v>
      </c>
      <c r="C156" s="40">
        <v>0.90878899999999996</v>
      </c>
      <c r="D156" s="41">
        <v>0.18390300000000001</v>
      </c>
      <c r="E156" s="42">
        <v>5.8E-5</v>
      </c>
      <c r="F156" s="43">
        <v>-1.3999999999999999E-4</v>
      </c>
      <c r="G156" s="43">
        <v>0</v>
      </c>
      <c r="H156" s="43">
        <v>1</v>
      </c>
      <c r="I156" s="44">
        <v>17</v>
      </c>
      <c r="J156" s="49" t="str">
        <f t="shared" si="9"/>
        <v>TAK</v>
      </c>
      <c r="K156" s="42">
        <v>-2.2699999999999999E-4</v>
      </c>
      <c r="L156" s="42">
        <v>2.8800000000000001E-4</v>
      </c>
      <c r="M156" s="42">
        <v>0</v>
      </c>
      <c r="N156" s="43">
        <v>1</v>
      </c>
      <c r="O156" s="44">
        <v>32</v>
      </c>
      <c r="P156" s="49" t="str">
        <f t="shared" si="10"/>
        <v>TAK</v>
      </c>
      <c r="Q156" s="40">
        <v>1.070497</v>
      </c>
      <c r="R156" s="43">
        <v>-0.53504600000000002</v>
      </c>
      <c r="S156" s="43">
        <v>0.87736199999999998</v>
      </c>
      <c r="T156" s="43">
        <v>1</v>
      </c>
      <c r="U156" s="43">
        <v>28</v>
      </c>
      <c r="V156" s="44">
        <v>28</v>
      </c>
      <c r="W156" s="49" t="str">
        <f t="shared" si="11"/>
        <v>NIE</v>
      </c>
    </row>
    <row r="157" spans="1:23" x14ac:dyDescent="0.3">
      <c r="A157" s="68"/>
      <c r="B157" s="24">
        <v>54</v>
      </c>
      <c r="C157" s="40">
        <v>0.30627900000000002</v>
      </c>
      <c r="D157" s="41">
        <v>1.211201</v>
      </c>
      <c r="E157" s="42">
        <v>-4.3999999999999999E-5</v>
      </c>
      <c r="F157" s="43">
        <v>1.06E-4</v>
      </c>
      <c r="G157" s="43">
        <v>0</v>
      </c>
      <c r="H157" s="43">
        <v>1</v>
      </c>
      <c r="I157" s="44">
        <v>18</v>
      </c>
      <c r="J157" s="49" t="str">
        <f t="shared" si="9"/>
        <v>TAK</v>
      </c>
      <c r="K157" s="42">
        <v>-7.8999999999999996E-5</v>
      </c>
      <c r="L157" s="42">
        <v>2.81E-4</v>
      </c>
      <c r="M157" s="42">
        <v>0</v>
      </c>
      <c r="N157" s="43">
        <v>1</v>
      </c>
      <c r="O157" s="44">
        <v>26</v>
      </c>
      <c r="P157" s="49" t="str">
        <f t="shared" si="10"/>
        <v>TAK</v>
      </c>
      <c r="Q157" s="40">
        <v>4.5000000000000003E-5</v>
      </c>
      <c r="R157" s="43">
        <v>2.2100000000000001E-4</v>
      </c>
      <c r="S157" s="43">
        <v>0</v>
      </c>
      <c r="T157" s="43">
        <v>1</v>
      </c>
      <c r="U157" s="43">
        <v>30</v>
      </c>
      <c r="V157" s="44">
        <v>30</v>
      </c>
      <c r="W157" s="49" t="str">
        <f t="shared" si="11"/>
        <v>TAK</v>
      </c>
    </row>
    <row r="158" spans="1:23" x14ac:dyDescent="0.3">
      <c r="A158" s="68"/>
      <c r="B158" s="24">
        <v>55</v>
      </c>
      <c r="C158" s="40">
        <v>1.3750720000000001</v>
      </c>
      <c r="D158" s="41">
        <v>0.98567099999999996</v>
      </c>
      <c r="E158" s="42" t="s">
        <v>30</v>
      </c>
      <c r="F158" s="43" t="s">
        <v>30</v>
      </c>
      <c r="G158" s="43" t="s">
        <v>30</v>
      </c>
      <c r="H158" s="43" t="s">
        <v>30</v>
      </c>
      <c r="I158" s="44" t="s">
        <v>30</v>
      </c>
      <c r="J158" s="49" t="e">
        <f t="shared" si="9"/>
        <v>#VALUE!</v>
      </c>
      <c r="K158" s="42" t="s">
        <v>22</v>
      </c>
      <c r="L158" s="42" t="e" cm="1">
        <f t="array" ref="L158">-inf</f>
        <v>#NAME?</v>
      </c>
      <c r="M158" s="42" t="s">
        <v>22</v>
      </c>
      <c r="N158" s="43">
        <v>1</v>
      </c>
      <c r="O158" s="44">
        <v>22</v>
      </c>
      <c r="P158" s="49" t="e">
        <f t="shared" si="10"/>
        <v>#VALUE!</v>
      </c>
      <c r="Q158" s="40">
        <v>1.070584</v>
      </c>
      <c r="R158" s="43">
        <v>-0.53499300000000005</v>
      </c>
      <c r="S158" s="43">
        <v>0.87736199999999998</v>
      </c>
      <c r="T158" s="43">
        <v>1</v>
      </c>
      <c r="U158" s="43">
        <v>30</v>
      </c>
      <c r="V158" s="44">
        <v>30</v>
      </c>
      <c r="W158" s="49" t="str">
        <f t="shared" si="11"/>
        <v>NIE</v>
      </c>
    </row>
    <row r="159" spans="1:23" x14ac:dyDescent="0.3">
      <c r="A159" s="68"/>
      <c r="B159" s="24">
        <v>56</v>
      </c>
      <c r="C159" s="40">
        <v>0.877695</v>
      </c>
      <c r="D159" s="41">
        <v>1.740774</v>
      </c>
      <c r="E159" s="42">
        <v>-3.8999999999999999E-5</v>
      </c>
      <c r="F159" s="43">
        <v>9.5000000000000005E-5</v>
      </c>
      <c r="G159" s="43">
        <v>0</v>
      </c>
      <c r="H159" s="43">
        <v>1</v>
      </c>
      <c r="I159" s="44">
        <v>18</v>
      </c>
      <c r="J159" s="49" t="str">
        <f t="shared" si="9"/>
        <v>TAK</v>
      </c>
      <c r="K159" s="42">
        <v>3.4600000000000001E-4</v>
      </c>
      <c r="L159" s="42">
        <v>-2.72E-4</v>
      </c>
      <c r="M159" s="42">
        <v>0</v>
      </c>
      <c r="N159" s="43">
        <v>1</v>
      </c>
      <c r="O159" s="44">
        <v>26</v>
      </c>
      <c r="P159" s="49" t="str">
        <f t="shared" si="10"/>
        <v>TAK</v>
      </c>
      <c r="Q159" s="40">
        <v>1.0705260000000001</v>
      </c>
      <c r="R159" s="43">
        <v>-0.53504399999999996</v>
      </c>
      <c r="S159" s="43">
        <v>0.87736199999999998</v>
      </c>
      <c r="T159" s="43">
        <v>1</v>
      </c>
      <c r="U159" s="43">
        <v>32</v>
      </c>
      <c r="V159" s="44">
        <v>32</v>
      </c>
      <c r="W159" s="49" t="str">
        <f t="shared" si="11"/>
        <v>NIE</v>
      </c>
    </row>
    <row r="160" spans="1:23" x14ac:dyDescent="0.3">
      <c r="A160" s="68"/>
      <c r="B160" s="24">
        <v>57</v>
      </c>
      <c r="C160" s="40">
        <v>0.21284400000000001</v>
      </c>
      <c r="D160" s="41">
        <v>0.64382499999999998</v>
      </c>
      <c r="E160" s="42">
        <v>-3.6999999999999998E-5</v>
      </c>
      <c r="F160" s="43">
        <v>8.7999999999999998E-5</v>
      </c>
      <c r="G160" s="43">
        <v>0</v>
      </c>
      <c r="H160" s="43">
        <v>1</v>
      </c>
      <c r="I160" s="44">
        <v>17</v>
      </c>
      <c r="J160" s="49" t="str">
        <f t="shared" si="9"/>
        <v>TAK</v>
      </c>
      <c r="K160" s="42">
        <v>-1.26E-4</v>
      </c>
      <c r="L160" s="42">
        <v>4.2299999999999998E-4</v>
      </c>
      <c r="M160" s="42">
        <v>0</v>
      </c>
      <c r="N160" s="43">
        <v>1</v>
      </c>
      <c r="O160" s="44">
        <v>23</v>
      </c>
      <c r="P160" s="49" t="str">
        <f t="shared" si="10"/>
        <v>TAK</v>
      </c>
      <c r="Q160" s="40">
        <v>8.2999999999999998E-5</v>
      </c>
      <c r="R160" s="43">
        <v>2.7599999999999999E-4</v>
      </c>
      <c r="S160" s="43">
        <v>0</v>
      </c>
      <c r="T160" s="43">
        <v>1</v>
      </c>
      <c r="U160" s="43">
        <v>27</v>
      </c>
      <c r="V160" s="44">
        <v>27</v>
      </c>
      <c r="W160" s="49" t="str">
        <f t="shared" si="11"/>
        <v>TAK</v>
      </c>
    </row>
    <row r="161" spans="1:23" x14ac:dyDescent="0.3">
      <c r="A161" s="68"/>
      <c r="B161" s="24">
        <v>58</v>
      </c>
      <c r="C161" s="40">
        <v>0.63257399999999997</v>
      </c>
      <c r="D161" s="41">
        <v>1.0575810000000001</v>
      </c>
      <c r="E161" s="42">
        <v>-4.1999999999999998E-5</v>
      </c>
      <c r="F161" s="43">
        <v>1.01E-4</v>
      </c>
      <c r="G161" s="43">
        <v>0</v>
      </c>
      <c r="H161" s="43">
        <v>1</v>
      </c>
      <c r="I161" s="44">
        <v>17</v>
      </c>
      <c r="J161" s="49" t="str">
        <f t="shared" si="9"/>
        <v>TAK</v>
      </c>
      <c r="K161" s="42">
        <v>-5.5000000000000002E-5</v>
      </c>
      <c r="L161" s="42">
        <v>3.3500000000000001E-4</v>
      </c>
      <c r="M161" s="42">
        <v>0</v>
      </c>
      <c r="N161" s="43">
        <v>1</v>
      </c>
      <c r="O161" s="44">
        <v>23</v>
      </c>
      <c r="P161" s="49" t="str">
        <f t="shared" si="10"/>
        <v>TAK</v>
      </c>
      <c r="Q161" s="40">
        <v>1.0705389999999999</v>
      </c>
      <c r="R161" s="43">
        <v>-0.53502400000000006</v>
      </c>
      <c r="S161" s="43">
        <v>0.87736199999999998</v>
      </c>
      <c r="T161" s="43">
        <v>1</v>
      </c>
      <c r="U161" s="43">
        <v>30</v>
      </c>
      <c r="V161" s="44">
        <v>30</v>
      </c>
      <c r="W161" s="49" t="str">
        <f t="shared" si="11"/>
        <v>NIE</v>
      </c>
    </row>
    <row r="162" spans="1:23" x14ac:dyDescent="0.3">
      <c r="A162" s="68"/>
      <c r="B162" s="24">
        <v>59</v>
      </c>
      <c r="C162" s="40">
        <v>1.27498</v>
      </c>
      <c r="D162" s="41">
        <v>0.76422100000000004</v>
      </c>
      <c r="E162" s="42">
        <v>4.1E-5</v>
      </c>
      <c r="F162" s="43">
        <v>-9.8999999999999994E-5</v>
      </c>
      <c r="G162" s="43">
        <v>0</v>
      </c>
      <c r="H162" s="43">
        <v>1</v>
      </c>
      <c r="I162" s="44">
        <v>23</v>
      </c>
      <c r="J162" s="49" t="str">
        <f t="shared" si="9"/>
        <v>TAK</v>
      </c>
      <c r="K162" s="42" t="s">
        <v>22</v>
      </c>
      <c r="L162" s="42" t="s">
        <v>22</v>
      </c>
      <c r="M162" s="42" t="s">
        <v>22</v>
      </c>
      <c r="N162" s="43">
        <v>1</v>
      </c>
      <c r="O162" s="44">
        <v>25</v>
      </c>
      <c r="P162" s="49" t="e">
        <f t="shared" si="10"/>
        <v>#VALUE!</v>
      </c>
      <c r="Q162" s="40">
        <v>1.0705769999999999</v>
      </c>
      <c r="R162" s="43">
        <v>-0.53503800000000001</v>
      </c>
      <c r="S162" s="43">
        <v>0.87736199999999998</v>
      </c>
      <c r="T162" s="43">
        <v>1</v>
      </c>
      <c r="U162" s="43">
        <v>30</v>
      </c>
      <c r="V162" s="44">
        <v>30</v>
      </c>
      <c r="W162" s="49" t="str">
        <f t="shared" si="11"/>
        <v>NIE</v>
      </c>
    </row>
    <row r="163" spans="1:23" x14ac:dyDescent="0.3">
      <c r="A163" s="68"/>
      <c r="B163" s="24">
        <v>60</v>
      </c>
      <c r="C163" s="40">
        <v>1.0340510000000001</v>
      </c>
      <c r="D163" s="41">
        <v>0.67130000000000001</v>
      </c>
      <c r="E163" s="42">
        <v>5.0000000000000002E-5</v>
      </c>
      <c r="F163" s="43">
        <v>-1.21E-4</v>
      </c>
      <c r="G163" s="43">
        <v>0</v>
      </c>
      <c r="H163" s="43">
        <v>1</v>
      </c>
      <c r="I163" s="44">
        <v>17</v>
      </c>
      <c r="J163" s="49" t="str">
        <f t="shared" si="9"/>
        <v>TAK</v>
      </c>
      <c r="K163" s="42">
        <v>-2.1699999999999999E-4</v>
      </c>
      <c r="L163" s="42">
        <v>2.8600000000000001E-4</v>
      </c>
      <c r="M163" s="42">
        <v>0</v>
      </c>
      <c r="N163" s="43">
        <v>1</v>
      </c>
      <c r="O163" s="44">
        <v>23</v>
      </c>
      <c r="P163" s="49" t="str">
        <f t="shared" si="10"/>
        <v>TAK</v>
      </c>
      <c r="Q163" s="40">
        <v>1.0705340000000001</v>
      </c>
      <c r="R163" s="43">
        <v>-0.53498400000000002</v>
      </c>
      <c r="S163" s="43">
        <v>0.87736199999999998</v>
      </c>
      <c r="T163" s="43">
        <v>1</v>
      </c>
      <c r="U163" s="43">
        <v>29</v>
      </c>
      <c r="V163" s="44">
        <v>29</v>
      </c>
      <c r="W163" s="49" t="str">
        <f t="shared" si="11"/>
        <v>NIE</v>
      </c>
    </row>
    <row r="164" spans="1:23" x14ac:dyDescent="0.3">
      <c r="A164" s="68"/>
      <c r="B164" s="24">
        <v>61</v>
      </c>
      <c r="C164" s="40">
        <v>0.55552800000000002</v>
      </c>
      <c r="D164" s="41">
        <v>0.53907799999999995</v>
      </c>
      <c r="E164" s="42">
        <v>-3.4999999999999997E-5</v>
      </c>
      <c r="F164" s="43">
        <v>8.5000000000000006E-5</v>
      </c>
      <c r="G164" s="43">
        <v>0</v>
      </c>
      <c r="H164" s="43">
        <v>1</v>
      </c>
      <c r="I164" s="44">
        <v>15</v>
      </c>
      <c r="J164" s="49" t="str">
        <f t="shared" si="9"/>
        <v>TAK</v>
      </c>
      <c r="K164" s="42">
        <v>-2.5999999999999998E-5</v>
      </c>
      <c r="L164" s="42">
        <v>2.34E-4</v>
      </c>
      <c r="M164" s="42">
        <v>0</v>
      </c>
      <c r="N164" s="43">
        <v>1</v>
      </c>
      <c r="O164" s="44">
        <v>23</v>
      </c>
      <c r="P164" s="49" t="str">
        <f t="shared" si="10"/>
        <v>TAK</v>
      </c>
      <c r="Q164" s="40">
        <v>-1.747795</v>
      </c>
      <c r="R164" s="43">
        <v>0.87390400000000001</v>
      </c>
      <c r="S164" s="43">
        <v>0.29863899999999999</v>
      </c>
      <c r="T164" s="43">
        <v>1</v>
      </c>
      <c r="U164" s="43">
        <v>41</v>
      </c>
      <c r="V164" s="44">
        <v>41</v>
      </c>
      <c r="W164" s="49" t="str">
        <f t="shared" si="11"/>
        <v>NIE</v>
      </c>
    </row>
    <row r="165" spans="1:23" x14ac:dyDescent="0.3">
      <c r="A165" s="68"/>
      <c r="B165" s="24">
        <v>62</v>
      </c>
      <c r="C165" s="40">
        <v>0.455262</v>
      </c>
      <c r="D165" s="41">
        <v>1.2307999999999999</v>
      </c>
      <c r="E165" s="42">
        <v>-4.0000000000000003E-5</v>
      </c>
      <c r="F165" s="43">
        <v>9.6000000000000002E-5</v>
      </c>
      <c r="G165" s="43">
        <v>0</v>
      </c>
      <c r="H165" s="43">
        <v>1</v>
      </c>
      <c r="I165" s="44">
        <v>18</v>
      </c>
      <c r="J165" s="49" t="str">
        <f t="shared" si="9"/>
        <v>TAK</v>
      </c>
      <c r="K165" s="42">
        <v>-6.7999999999999999E-5</v>
      </c>
      <c r="L165" s="42">
        <v>2.6499999999999999E-4</v>
      </c>
      <c r="M165" s="42">
        <v>0</v>
      </c>
      <c r="N165" s="43">
        <v>1</v>
      </c>
      <c r="O165" s="44">
        <v>26</v>
      </c>
      <c r="P165" s="49" t="str">
        <f t="shared" si="10"/>
        <v>TAK</v>
      </c>
      <c r="Q165" s="40">
        <v>4.0000000000000003E-5</v>
      </c>
      <c r="R165" s="43">
        <v>2.4000000000000001E-4</v>
      </c>
      <c r="S165" s="43">
        <v>0</v>
      </c>
      <c r="T165" s="43">
        <v>1</v>
      </c>
      <c r="U165" s="43">
        <v>30</v>
      </c>
      <c r="V165" s="44">
        <v>30</v>
      </c>
      <c r="W165" s="49" t="str">
        <f t="shared" si="11"/>
        <v>TAK</v>
      </c>
    </row>
    <row r="166" spans="1:23" x14ac:dyDescent="0.3">
      <c r="A166" s="68"/>
      <c r="B166" s="24">
        <v>63</v>
      </c>
      <c r="C166" s="40">
        <v>1.3329029999999999</v>
      </c>
      <c r="D166" s="41">
        <v>1.3118510000000001</v>
      </c>
      <c r="E166" s="42">
        <v>5.7000000000000003E-5</v>
      </c>
      <c r="F166" s="43">
        <v>-1.3799999999999999E-4</v>
      </c>
      <c r="G166" s="43">
        <v>0</v>
      </c>
      <c r="H166" s="43">
        <v>1</v>
      </c>
      <c r="I166" s="44">
        <v>20</v>
      </c>
      <c r="J166" s="49" t="str">
        <f t="shared" si="9"/>
        <v>TAK</v>
      </c>
      <c r="K166" s="42" t="s">
        <v>22</v>
      </c>
      <c r="L166" s="42" t="s">
        <v>23</v>
      </c>
      <c r="M166" s="42" t="s">
        <v>22</v>
      </c>
      <c r="N166" s="43">
        <v>1</v>
      </c>
      <c r="O166" s="44">
        <v>25</v>
      </c>
      <c r="P166" s="49" t="e">
        <f t="shared" si="10"/>
        <v>#VALUE!</v>
      </c>
      <c r="Q166" s="40">
        <v>1.070573</v>
      </c>
      <c r="R166" s="43">
        <v>-0.53502099999999997</v>
      </c>
      <c r="S166" s="43">
        <v>0.87736199999999998</v>
      </c>
      <c r="T166" s="43">
        <v>1</v>
      </c>
      <c r="U166" s="43">
        <v>31</v>
      </c>
      <c r="V166" s="44">
        <v>31</v>
      </c>
      <c r="W166" s="49" t="str">
        <f t="shared" si="11"/>
        <v>NIE</v>
      </c>
    </row>
    <row r="167" spans="1:23" x14ac:dyDescent="0.3">
      <c r="A167" s="68"/>
      <c r="B167" s="24">
        <v>64</v>
      </c>
      <c r="C167" s="40">
        <v>1.094981</v>
      </c>
      <c r="D167" s="41">
        <v>0.51673000000000002</v>
      </c>
      <c r="E167" s="42">
        <v>3.8000000000000002E-5</v>
      </c>
      <c r="F167" s="43">
        <v>-9.1000000000000003E-5</v>
      </c>
      <c r="G167" s="43">
        <v>0</v>
      </c>
      <c r="H167" s="43">
        <v>1</v>
      </c>
      <c r="I167" s="44">
        <v>19</v>
      </c>
      <c r="J167" s="49" t="str">
        <f t="shared" si="9"/>
        <v>TAK</v>
      </c>
      <c r="K167" s="42" t="s">
        <v>22</v>
      </c>
      <c r="L167" s="42" t="s">
        <v>23</v>
      </c>
      <c r="M167" s="42" t="s">
        <v>22</v>
      </c>
      <c r="N167" s="43">
        <v>1</v>
      </c>
      <c r="O167" s="44">
        <v>28</v>
      </c>
      <c r="P167" s="49" t="e">
        <f t="shared" si="10"/>
        <v>#VALUE!</v>
      </c>
      <c r="Q167" s="40">
        <v>1.0705480000000001</v>
      </c>
      <c r="R167" s="43">
        <v>-0.53502099999999997</v>
      </c>
      <c r="S167" s="43">
        <v>0.87736199999999998</v>
      </c>
      <c r="T167" s="43">
        <v>1</v>
      </c>
      <c r="U167" s="43">
        <v>29</v>
      </c>
      <c r="V167" s="44">
        <v>29</v>
      </c>
      <c r="W167" s="49" t="str">
        <f t="shared" si="11"/>
        <v>NIE</v>
      </c>
    </row>
    <row r="168" spans="1:23" x14ac:dyDescent="0.3">
      <c r="A168" s="68"/>
      <c r="B168" s="24">
        <v>65</v>
      </c>
      <c r="C168" s="40">
        <v>1.227889</v>
      </c>
      <c r="D168" s="41">
        <v>1.3844529999999999</v>
      </c>
      <c r="E168" s="42">
        <v>3.8000000000000002E-5</v>
      </c>
      <c r="F168" s="43">
        <v>-9.2E-5</v>
      </c>
      <c r="G168" s="43">
        <v>0</v>
      </c>
      <c r="H168" s="43">
        <v>1</v>
      </c>
      <c r="I168" s="44">
        <v>18</v>
      </c>
      <c r="J168" s="49" t="str">
        <f t="shared" si="9"/>
        <v>TAK</v>
      </c>
      <c r="K168" s="42">
        <v>-2.1499999999999999E-4</v>
      </c>
      <c r="L168" s="42">
        <v>2.1599999999999999E-4</v>
      </c>
      <c r="M168" s="42">
        <v>0</v>
      </c>
      <c r="N168" s="43">
        <v>1</v>
      </c>
      <c r="O168" s="44">
        <v>38</v>
      </c>
      <c r="P168" s="49" t="str">
        <f t="shared" si="10"/>
        <v>TAK</v>
      </c>
      <c r="Q168" s="40">
        <v>1.0705629999999999</v>
      </c>
      <c r="R168" s="43">
        <v>-0.53501399999999999</v>
      </c>
      <c r="S168" s="43">
        <v>0.87736199999999998</v>
      </c>
      <c r="T168" s="43">
        <v>1</v>
      </c>
      <c r="U168" s="43">
        <v>31</v>
      </c>
      <c r="V168" s="44">
        <v>31</v>
      </c>
      <c r="W168" s="49" t="str">
        <f t="shared" si="11"/>
        <v>NIE</v>
      </c>
    </row>
    <row r="169" spans="1:23" x14ac:dyDescent="0.3">
      <c r="A169" s="68"/>
      <c r="B169" s="24">
        <v>66</v>
      </c>
      <c r="C169" s="40">
        <v>0.97359399999999996</v>
      </c>
      <c r="D169" s="41">
        <v>0.61587899999999995</v>
      </c>
      <c r="E169" s="42">
        <v>3.6000000000000001E-5</v>
      </c>
      <c r="F169" s="43">
        <v>-8.7000000000000001E-5</v>
      </c>
      <c r="G169" s="43">
        <v>0</v>
      </c>
      <c r="H169" s="43">
        <v>1</v>
      </c>
      <c r="I169" s="44">
        <v>17</v>
      </c>
      <c r="J169" s="49" t="str">
        <f t="shared" si="9"/>
        <v>TAK</v>
      </c>
      <c r="K169" s="42">
        <v>3.88E-4</v>
      </c>
      <c r="L169" s="42">
        <v>-5.8500000000000002E-4</v>
      </c>
      <c r="M169" s="42">
        <v>0</v>
      </c>
      <c r="N169" s="43">
        <v>1</v>
      </c>
      <c r="O169" s="44">
        <v>26</v>
      </c>
      <c r="P169" s="49" t="str">
        <f t="shared" si="10"/>
        <v>TAK</v>
      </c>
      <c r="Q169" s="40">
        <v>1.0705210000000001</v>
      </c>
      <c r="R169" s="43">
        <v>-0.53499799999999997</v>
      </c>
      <c r="S169" s="43">
        <v>0.87736199999999998</v>
      </c>
      <c r="T169" s="43">
        <v>1</v>
      </c>
      <c r="U169" s="43">
        <v>29</v>
      </c>
      <c r="V169" s="44">
        <v>29</v>
      </c>
      <c r="W169" s="49" t="str">
        <f t="shared" si="11"/>
        <v>NIE</v>
      </c>
    </row>
    <row r="170" spans="1:23" x14ac:dyDescent="0.3">
      <c r="A170" s="68"/>
      <c r="B170" s="24">
        <v>67</v>
      </c>
      <c r="C170" s="40">
        <v>0.84706899999999996</v>
      </c>
      <c r="D170" s="41">
        <v>1.4046369999999999</v>
      </c>
      <c r="E170" s="42">
        <v>-4.6E-5</v>
      </c>
      <c r="F170" s="43">
        <v>1.1E-4</v>
      </c>
      <c r="G170" s="43">
        <v>0</v>
      </c>
      <c r="H170" s="43">
        <v>1</v>
      </c>
      <c r="I170" s="44">
        <v>17</v>
      </c>
      <c r="J170" s="49" t="str">
        <f t="shared" si="9"/>
        <v>TAK</v>
      </c>
      <c r="K170" s="42">
        <v>3.7399999999999998E-4</v>
      </c>
      <c r="L170" s="42">
        <v>-2.7799999999999998E-4</v>
      </c>
      <c r="M170" s="42">
        <v>0</v>
      </c>
      <c r="N170" s="43">
        <v>1</v>
      </c>
      <c r="O170" s="44">
        <v>26</v>
      </c>
      <c r="P170" s="49" t="str">
        <f t="shared" si="10"/>
        <v>TAK</v>
      </c>
      <c r="Q170" s="40">
        <v>1.0705180000000001</v>
      </c>
      <c r="R170" s="43">
        <v>-0.53501399999999999</v>
      </c>
      <c r="S170" s="43">
        <v>0.87736199999999998</v>
      </c>
      <c r="T170" s="43">
        <v>1</v>
      </c>
      <c r="U170" s="43">
        <v>31</v>
      </c>
      <c r="V170" s="44">
        <v>31</v>
      </c>
      <c r="W170" s="49" t="str">
        <f t="shared" si="11"/>
        <v>NIE</v>
      </c>
    </row>
    <row r="171" spans="1:23" x14ac:dyDescent="0.3">
      <c r="A171" s="68"/>
      <c r="B171" s="24">
        <v>68</v>
      </c>
      <c r="C171" s="40">
        <v>0.10584399999999999</v>
      </c>
      <c r="D171" s="41">
        <v>1.346846</v>
      </c>
      <c r="E171" s="42">
        <v>-5.5000000000000002E-5</v>
      </c>
      <c r="F171" s="43">
        <v>1.3200000000000001E-4</v>
      </c>
      <c r="G171" s="43">
        <v>0</v>
      </c>
      <c r="H171" s="43">
        <v>1</v>
      </c>
      <c r="I171" s="44">
        <v>18</v>
      </c>
      <c r="J171" s="49" t="str">
        <f t="shared" si="9"/>
        <v>TAK</v>
      </c>
      <c r="K171" s="42">
        <v>-6.0999999999999999E-5</v>
      </c>
      <c r="L171" s="42">
        <v>2.9799999999999998E-4</v>
      </c>
      <c r="M171" s="42">
        <v>0</v>
      </c>
      <c r="N171" s="43">
        <v>1</v>
      </c>
      <c r="O171" s="44">
        <v>26</v>
      </c>
      <c r="P171" s="49" t="str">
        <f t="shared" si="10"/>
        <v>TAK</v>
      </c>
      <c r="Q171" s="40">
        <v>1.9000000000000001E-5</v>
      </c>
      <c r="R171" s="43">
        <v>2.41E-4</v>
      </c>
      <c r="S171" s="43">
        <v>0</v>
      </c>
      <c r="T171" s="43">
        <v>1</v>
      </c>
      <c r="U171" s="43">
        <v>30</v>
      </c>
      <c r="V171" s="44">
        <v>30</v>
      </c>
      <c r="W171" s="49" t="str">
        <f t="shared" si="11"/>
        <v>TAK</v>
      </c>
    </row>
    <row r="172" spans="1:23" x14ac:dyDescent="0.3">
      <c r="A172" s="68"/>
      <c r="B172" s="24">
        <v>69</v>
      </c>
      <c r="C172" s="40">
        <v>1.445379</v>
      </c>
      <c r="D172" s="41">
        <v>0.65307199999999999</v>
      </c>
      <c r="E172" s="42" t="s">
        <v>30</v>
      </c>
      <c r="F172" s="43" t="s">
        <v>30</v>
      </c>
      <c r="G172" s="43" t="s">
        <v>30</v>
      </c>
      <c r="H172" s="43" t="s">
        <v>30</v>
      </c>
      <c r="I172" s="44" t="s">
        <v>30</v>
      </c>
      <c r="J172" s="49" t="e">
        <f t="shared" si="9"/>
        <v>#VALUE!</v>
      </c>
      <c r="K172" s="42" t="s">
        <v>22</v>
      </c>
      <c r="L172" s="42" t="s">
        <v>22</v>
      </c>
      <c r="M172" s="42" t="s">
        <v>22</v>
      </c>
      <c r="N172" s="43">
        <v>1</v>
      </c>
      <c r="O172" s="44">
        <v>22</v>
      </c>
      <c r="P172" s="49" t="e">
        <f t="shared" si="10"/>
        <v>#VALUE!</v>
      </c>
      <c r="Q172" s="40">
        <v>1.0705530000000001</v>
      </c>
      <c r="R172" s="43">
        <v>-0.53503100000000003</v>
      </c>
      <c r="S172" s="43">
        <v>0.87736199999999998</v>
      </c>
      <c r="T172" s="43">
        <v>1</v>
      </c>
      <c r="U172" s="43">
        <v>30</v>
      </c>
      <c r="V172" s="44">
        <v>30</v>
      </c>
      <c r="W172" s="49" t="str">
        <f t="shared" si="11"/>
        <v>NIE</v>
      </c>
    </row>
    <row r="173" spans="1:23" x14ac:dyDescent="0.3">
      <c r="A173" s="68"/>
      <c r="B173" s="24">
        <v>70</v>
      </c>
      <c r="C173" s="40">
        <v>1.224221</v>
      </c>
      <c r="D173" s="41">
        <v>1.161899</v>
      </c>
      <c r="E173" s="42">
        <v>3.6999999999999998E-5</v>
      </c>
      <c r="F173" s="43">
        <v>-8.7999999999999998E-5</v>
      </c>
      <c r="G173" s="43">
        <v>0</v>
      </c>
      <c r="H173" s="43">
        <v>1</v>
      </c>
      <c r="I173" s="44">
        <v>19</v>
      </c>
      <c r="J173" s="49" t="str">
        <f t="shared" si="9"/>
        <v>TAK</v>
      </c>
      <c r="K173" s="42">
        <v>-2.7799999999999998E-4</v>
      </c>
      <c r="L173" s="42">
        <v>4.4200000000000001E-4</v>
      </c>
      <c r="M173" s="42">
        <v>0</v>
      </c>
      <c r="N173" s="43">
        <v>1</v>
      </c>
      <c r="O173" s="44">
        <v>62</v>
      </c>
      <c r="P173" s="49" t="str">
        <f t="shared" si="10"/>
        <v>TAK</v>
      </c>
      <c r="Q173" s="40">
        <v>1.0705629999999999</v>
      </c>
      <c r="R173" s="43">
        <v>-0.53504399999999996</v>
      </c>
      <c r="S173" s="43">
        <v>0.87736199999999998</v>
      </c>
      <c r="T173" s="43">
        <v>1</v>
      </c>
      <c r="U173" s="43">
        <v>31</v>
      </c>
      <c r="V173" s="44">
        <v>31</v>
      </c>
      <c r="W173" s="49" t="str">
        <f t="shared" si="11"/>
        <v>NIE</v>
      </c>
    </row>
    <row r="174" spans="1:23" x14ac:dyDescent="0.3">
      <c r="A174" s="68"/>
      <c r="B174" s="24">
        <v>71</v>
      </c>
      <c r="C174" s="40">
        <v>0.64376800000000001</v>
      </c>
      <c r="D174" s="41">
        <v>1.212818</v>
      </c>
      <c r="E174" s="42">
        <v>-5.1E-5</v>
      </c>
      <c r="F174" s="43">
        <v>1.2400000000000001E-4</v>
      </c>
      <c r="G174" s="43">
        <v>0</v>
      </c>
      <c r="H174" s="43">
        <v>1</v>
      </c>
      <c r="I174" s="44">
        <v>17</v>
      </c>
      <c r="J174" s="49" t="str">
        <f t="shared" si="9"/>
        <v>TAK</v>
      </c>
      <c r="K174" s="42">
        <v>-7.2999999999999999E-5</v>
      </c>
      <c r="L174" s="42">
        <v>3.7500000000000001E-4</v>
      </c>
      <c r="M174" s="42">
        <v>0</v>
      </c>
      <c r="N174" s="43">
        <v>1</v>
      </c>
      <c r="O174" s="44">
        <v>23</v>
      </c>
      <c r="P174" s="49" t="str">
        <f t="shared" si="10"/>
        <v>TAK</v>
      </c>
      <c r="Q174" s="40">
        <v>1.070527</v>
      </c>
      <c r="R174" s="43">
        <v>-0.53498900000000005</v>
      </c>
      <c r="S174" s="43">
        <v>0.87736199999999998</v>
      </c>
      <c r="T174" s="43">
        <v>1</v>
      </c>
      <c r="U174" s="43">
        <v>30</v>
      </c>
      <c r="V174" s="44">
        <v>30</v>
      </c>
      <c r="W174" s="49" t="str">
        <f t="shared" si="11"/>
        <v>NIE</v>
      </c>
    </row>
    <row r="175" spans="1:23" x14ac:dyDescent="0.3">
      <c r="A175" s="68"/>
      <c r="B175" s="24">
        <v>72</v>
      </c>
      <c r="C175" s="40">
        <v>0.99357600000000001</v>
      </c>
      <c r="D175" s="41">
        <v>0.75515399999999999</v>
      </c>
      <c r="E175" s="42">
        <v>4.8000000000000001E-5</v>
      </c>
      <c r="F175" s="43">
        <v>-1.17E-4</v>
      </c>
      <c r="G175" s="43">
        <v>0</v>
      </c>
      <c r="H175" s="43">
        <v>1</v>
      </c>
      <c r="I175" s="44">
        <v>16</v>
      </c>
      <c r="J175" s="49" t="str">
        <f t="shared" si="9"/>
        <v>TAK</v>
      </c>
      <c r="K175" s="42">
        <v>4.6999999999999997E-5</v>
      </c>
      <c r="L175" s="42">
        <v>-2.7099999999999997E-4</v>
      </c>
      <c r="M175" s="42">
        <v>0</v>
      </c>
      <c r="N175" s="43">
        <v>1</v>
      </c>
      <c r="O175" s="44">
        <v>29</v>
      </c>
      <c r="P175" s="49" t="str">
        <f t="shared" si="10"/>
        <v>TAK</v>
      </c>
      <c r="Q175" s="40">
        <v>1.0705290000000001</v>
      </c>
      <c r="R175" s="43">
        <v>-0.53504099999999999</v>
      </c>
      <c r="S175" s="43">
        <v>0.87736199999999998</v>
      </c>
      <c r="T175" s="43">
        <v>1</v>
      </c>
      <c r="U175" s="43">
        <v>30</v>
      </c>
      <c r="V175" s="44">
        <v>30</v>
      </c>
      <c r="W175" s="49" t="str">
        <f t="shared" si="11"/>
        <v>NIE</v>
      </c>
    </row>
    <row r="176" spans="1:23" x14ac:dyDescent="0.3">
      <c r="A176" s="68"/>
      <c r="B176" s="24">
        <v>73</v>
      </c>
      <c r="C176" s="40">
        <v>0.75236800000000004</v>
      </c>
      <c r="D176" s="41">
        <v>1.4961979999999999</v>
      </c>
      <c r="E176" s="42">
        <v>-3.6999999999999998E-5</v>
      </c>
      <c r="F176" s="43">
        <v>8.8999999999999995E-5</v>
      </c>
      <c r="G176" s="43">
        <v>0</v>
      </c>
      <c r="H176" s="43">
        <v>1</v>
      </c>
      <c r="I176" s="44">
        <v>18</v>
      </c>
      <c r="J176" s="49" t="str">
        <f t="shared" si="9"/>
        <v>TAK</v>
      </c>
      <c r="K176" s="42">
        <v>-2.5000000000000001E-5</v>
      </c>
      <c r="L176" s="42">
        <v>1.95E-4</v>
      </c>
      <c r="M176" s="42">
        <v>0</v>
      </c>
      <c r="N176" s="43">
        <v>1</v>
      </c>
      <c r="O176" s="44">
        <v>26</v>
      </c>
      <c r="P176" s="49" t="str">
        <f t="shared" si="10"/>
        <v>TAK</v>
      </c>
      <c r="Q176" s="40">
        <v>1.070514</v>
      </c>
      <c r="R176" s="43">
        <v>-0.53500599999999998</v>
      </c>
      <c r="S176" s="43">
        <v>0.87736199999999998</v>
      </c>
      <c r="T176" s="43">
        <v>1</v>
      </c>
      <c r="U176" s="43">
        <v>31</v>
      </c>
      <c r="V176" s="44">
        <v>31</v>
      </c>
      <c r="W176" s="49" t="str">
        <f t="shared" si="11"/>
        <v>NIE</v>
      </c>
    </row>
    <row r="177" spans="1:23" x14ac:dyDescent="0.3">
      <c r="A177" s="68"/>
      <c r="B177" s="24">
        <v>74</v>
      </c>
      <c r="C177" s="40">
        <v>0.101815</v>
      </c>
      <c r="D177" s="41">
        <v>1.4746440000000001</v>
      </c>
      <c r="E177" s="42">
        <v>-3.6999999999999998E-5</v>
      </c>
      <c r="F177" s="43">
        <v>8.8999999999999995E-5</v>
      </c>
      <c r="G177" s="43">
        <v>0</v>
      </c>
      <c r="H177" s="43">
        <v>1</v>
      </c>
      <c r="I177" s="44">
        <v>19</v>
      </c>
      <c r="J177" s="49" t="str">
        <f t="shared" si="9"/>
        <v>TAK</v>
      </c>
      <c r="K177" s="42">
        <v>-5.5000000000000002E-5</v>
      </c>
      <c r="L177" s="42">
        <v>3.2499999999999999E-4</v>
      </c>
      <c r="M177" s="42">
        <v>0</v>
      </c>
      <c r="N177" s="43">
        <v>1</v>
      </c>
      <c r="O177" s="44">
        <v>26</v>
      </c>
      <c r="P177" s="49" t="str">
        <f t="shared" si="10"/>
        <v>TAK</v>
      </c>
      <c r="Q177" s="40">
        <v>1.8E-5</v>
      </c>
      <c r="R177" s="43">
        <v>2.6400000000000002E-4</v>
      </c>
      <c r="S177" s="43">
        <v>0</v>
      </c>
      <c r="T177" s="43">
        <v>1</v>
      </c>
      <c r="U177" s="43">
        <v>30</v>
      </c>
      <c r="V177" s="44">
        <v>30</v>
      </c>
      <c r="W177" s="49" t="str">
        <f t="shared" si="11"/>
        <v>TAK</v>
      </c>
    </row>
    <row r="178" spans="1:23" x14ac:dyDescent="0.3">
      <c r="A178" s="68"/>
      <c r="B178" s="24">
        <v>75</v>
      </c>
      <c r="C178" s="40">
        <v>0.36610599999999999</v>
      </c>
      <c r="D178" s="41">
        <v>0.334457</v>
      </c>
      <c r="E178" s="42">
        <v>-4.5000000000000003E-5</v>
      </c>
      <c r="F178" s="43">
        <v>1.08E-4</v>
      </c>
      <c r="G178" s="43">
        <v>0</v>
      </c>
      <c r="H178" s="43">
        <v>1</v>
      </c>
      <c r="I178" s="44">
        <v>14</v>
      </c>
      <c r="J178" s="49" t="str">
        <f t="shared" si="9"/>
        <v>TAK</v>
      </c>
      <c r="K178" s="42">
        <v>-1.27E-4</v>
      </c>
      <c r="L178" s="42">
        <v>3.1300000000000002E-4</v>
      </c>
      <c r="M178" s="42">
        <v>0</v>
      </c>
      <c r="N178" s="43">
        <v>1</v>
      </c>
      <c r="O178" s="44">
        <v>20</v>
      </c>
      <c r="P178" s="49" t="str">
        <f t="shared" si="10"/>
        <v>TAK</v>
      </c>
      <c r="Q178" s="40">
        <v>1.5300000000000001E-4</v>
      </c>
      <c r="R178" s="43">
        <v>2.1599999999999999E-4</v>
      </c>
      <c r="S178" s="43">
        <v>0</v>
      </c>
      <c r="T178" s="43">
        <v>1</v>
      </c>
      <c r="U178" s="43">
        <v>26</v>
      </c>
      <c r="V178" s="44">
        <v>26</v>
      </c>
      <c r="W178" s="49" t="str">
        <f t="shared" si="11"/>
        <v>TAK</v>
      </c>
    </row>
    <row r="179" spans="1:23" x14ac:dyDescent="0.3">
      <c r="A179" s="68"/>
      <c r="B179" s="24">
        <v>76</v>
      </c>
      <c r="C179" s="40">
        <v>1.8002469999999999</v>
      </c>
      <c r="D179" s="41">
        <v>1.0432859999999999</v>
      </c>
      <c r="E179" s="42">
        <v>5.8E-5</v>
      </c>
      <c r="F179" s="43">
        <v>-1.3899999999999999E-4</v>
      </c>
      <c r="G179" s="43">
        <v>0</v>
      </c>
      <c r="H179" s="43">
        <v>1</v>
      </c>
      <c r="I179" s="44">
        <v>22</v>
      </c>
      <c r="J179" s="49" t="str">
        <f t="shared" si="9"/>
        <v>TAK</v>
      </c>
      <c r="K179" s="42" t="s">
        <v>22</v>
      </c>
      <c r="L179" s="42" t="s">
        <v>22</v>
      </c>
      <c r="M179" s="42" t="s">
        <v>22</v>
      </c>
      <c r="N179" s="43">
        <v>1</v>
      </c>
      <c r="O179" s="44">
        <v>25</v>
      </c>
      <c r="P179" s="49" t="e">
        <f t="shared" si="10"/>
        <v>#VALUE!</v>
      </c>
      <c r="Q179" s="40">
        <v>1.7475609999999999</v>
      </c>
      <c r="R179" s="43">
        <v>-0.87351999999999996</v>
      </c>
      <c r="S179" s="43">
        <v>0.29863899999999999</v>
      </c>
      <c r="T179" s="43">
        <v>1</v>
      </c>
      <c r="U179" s="43">
        <v>31</v>
      </c>
      <c r="V179" s="44">
        <v>31</v>
      </c>
      <c r="W179" s="49" t="str">
        <f t="shared" si="11"/>
        <v>NIE</v>
      </c>
    </row>
    <row r="180" spans="1:23" x14ac:dyDescent="0.3">
      <c r="A180" s="68"/>
      <c r="B180" s="24">
        <v>77</v>
      </c>
      <c r="C180" s="40">
        <v>0.21485000000000001</v>
      </c>
      <c r="D180" s="41">
        <v>1.7114210000000001</v>
      </c>
      <c r="E180" s="42">
        <v>-4.1999999999999998E-5</v>
      </c>
      <c r="F180" s="43">
        <v>1.02E-4</v>
      </c>
      <c r="G180" s="43">
        <v>0</v>
      </c>
      <c r="H180" s="43">
        <v>1</v>
      </c>
      <c r="I180" s="44">
        <v>19</v>
      </c>
      <c r="J180" s="49" t="str">
        <f t="shared" si="9"/>
        <v>TAK</v>
      </c>
      <c r="K180" s="42">
        <v>-5.8E-5</v>
      </c>
      <c r="L180" s="42">
        <v>3.39E-4</v>
      </c>
      <c r="M180" s="42">
        <v>0</v>
      </c>
      <c r="N180" s="43">
        <v>1</v>
      </c>
      <c r="O180" s="44">
        <v>26</v>
      </c>
      <c r="P180" s="49" t="str">
        <f t="shared" si="10"/>
        <v>TAK</v>
      </c>
      <c r="Q180" s="40">
        <v>2.5999999999999998E-5</v>
      </c>
      <c r="R180" s="43">
        <v>2.3000000000000001E-4</v>
      </c>
      <c r="S180" s="43">
        <v>0</v>
      </c>
      <c r="T180" s="43">
        <v>1</v>
      </c>
      <c r="U180" s="43">
        <v>31</v>
      </c>
      <c r="V180" s="44">
        <v>31</v>
      </c>
      <c r="W180" s="49" t="str">
        <f t="shared" si="11"/>
        <v>TAK</v>
      </c>
    </row>
    <row r="181" spans="1:23" x14ac:dyDescent="0.3">
      <c r="A181" s="68"/>
      <c r="B181" s="24">
        <v>78</v>
      </c>
      <c r="C181" s="40">
        <v>1.8160130000000001</v>
      </c>
      <c r="D181" s="41">
        <v>1.58138</v>
      </c>
      <c r="E181" s="42">
        <v>5.7000000000000003E-5</v>
      </c>
      <c r="F181" s="43">
        <v>-1.37E-4</v>
      </c>
      <c r="G181" s="43">
        <v>0</v>
      </c>
      <c r="H181" s="43">
        <v>1</v>
      </c>
      <c r="I181" s="44">
        <v>18</v>
      </c>
      <c r="J181" s="49" t="str">
        <f t="shared" si="9"/>
        <v>TAK</v>
      </c>
      <c r="K181" s="42">
        <v>-2.9799999999999998E-4</v>
      </c>
      <c r="L181" s="42">
        <v>4.6799999999999999E-4</v>
      </c>
      <c r="M181" s="42">
        <v>0</v>
      </c>
      <c r="N181" s="43">
        <v>1</v>
      </c>
      <c r="O181" s="44">
        <v>38</v>
      </c>
      <c r="P181" s="49" t="str">
        <f t="shared" si="10"/>
        <v>TAK</v>
      </c>
      <c r="Q181" s="40">
        <v>1.7475609999999999</v>
      </c>
      <c r="R181" s="43">
        <v>-0.87353000000000003</v>
      </c>
      <c r="S181" s="43">
        <v>0.29863899999999999</v>
      </c>
      <c r="T181" s="43">
        <v>1</v>
      </c>
      <c r="U181" s="43">
        <v>32</v>
      </c>
      <c r="V181" s="44">
        <v>32</v>
      </c>
      <c r="W181" s="49" t="str">
        <f t="shared" si="11"/>
        <v>NIE</v>
      </c>
    </row>
    <row r="182" spans="1:23" x14ac:dyDescent="0.3">
      <c r="A182" s="68"/>
      <c r="B182" s="24">
        <v>79</v>
      </c>
      <c r="C182" s="40">
        <v>0.132581</v>
      </c>
      <c r="D182" s="41">
        <v>1.025469</v>
      </c>
      <c r="E182" s="42">
        <v>-4.0000000000000003E-5</v>
      </c>
      <c r="F182" s="43">
        <v>9.6000000000000002E-5</v>
      </c>
      <c r="G182" s="43">
        <v>0</v>
      </c>
      <c r="H182" s="43">
        <v>1</v>
      </c>
      <c r="I182" s="44">
        <v>18</v>
      </c>
      <c r="J182" s="49" t="str">
        <f t="shared" si="9"/>
        <v>TAK</v>
      </c>
      <c r="K182" s="42">
        <v>-1.8900000000000001E-4</v>
      </c>
      <c r="L182" s="42">
        <v>6.1200000000000002E-4</v>
      </c>
      <c r="M182" s="42">
        <v>0</v>
      </c>
      <c r="N182" s="43">
        <v>1</v>
      </c>
      <c r="O182" s="44">
        <v>23</v>
      </c>
      <c r="P182" s="49" t="str">
        <f t="shared" si="10"/>
        <v>TAK</v>
      </c>
      <c r="Q182" s="40">
        <v>3.1000000000000001E-5</v>
      </c>
      <c r="R182" s="43">
        <v>2.4499999999999999E-4</v>
      </c>
      <c r="S182" s="43">
        <v>0</v>
      </c>
      <c r="T182" s="43">
        <v>1</v>
      </c>
      <c r="U182" s="43">
        <v>29</v>
      </c>
      <c r="V182" s="44">
        <v>29</v>
      </c>
      <c r="W182" s="49" t="str">
        <f t="shared" si="11"/>
        <v>TAK</v>
      </c>
    </row>
    <row r="183" spans="1:23" x14ac:dyDescent="0.3">
      <c r="A183" s="68"/>
      <c r="B183" s="24">
        <v>80</v>
      </c>
      <c r="C183" s="40">
        <v>1.050699</v>
      </c>
      <c r="D183" s="41">
        <v>0.20033200000000001</v>
      </c>
      <c r="E183" s="42">
        <v>4.5000000000000003E-5</v>
      </c>
      <c r="F183" s="43">
        <v>-1.08E-4</v>
      </c>
      <c r="G183" s="43">
        <v>0</v>
      </c>
      <c r="H183" s="43">
        <v>1</v>
      </c>
      <c r="I183" s="44">
        <v>19</v>
      </c>
      <c r="J183" s="49" t="str">
        <f t="shared" si="9"/>
        <v>TAK</v>
      </c>
      <c r="K183" s="42" t="s">
        <v>22</v>
      </c>
      <c r="L183" s="42" t="s">
        <v>22</v>
      </c>
      <c r="M183" s="42" t="s">
        <v>22</v>
      </c>
      <c r="N183" s="43">
        <v>1</v>
      </c>
      <c r="O183" s="44">
        <v>25</v>
      </c>
      <c r="P183" s="49" t="e">
        <f t="shared" si="10"/>
        <v>#VALUE!</v>
      </c>
      <c r="Q183" s="40">
        <v>1.0705359999999999</v>
      </c>
      <c r="R183" s="43">
        <v>-0.53503800000000001</v>
      </c>
      <c r="S183" s="43">
        <v>0.87736199999999998</v>
      </c>
      <c r="T183" s="43">
        <v>1</v>
      </c>
      <c r="U183" s="43">
        <v>28</v>
      </c>
      <c r="V183" s="44">
        <v>28</v>
      </c>
      <c r="W183" s="49" t="str">
        <f t="shared" si="11"/>
        <v>NIE</v>
      </c>
    </row>
    <row r="184" spans="1:23" x14ac:dyDescent="0.3">
      <c r="A184" s="68"/>
      <c r="B184" s="24">
        <v>81</v>
      </c>
      <c r="C184" s="40">
        <v>0.63597999999999999</v>
      </c>
      <c r="D184" s="41">
        <v>1.752138</v>
      </c>
      <c r="E184" s="42">
        <v>-5.3999999999999998E-5</v>
      </c>
      <c r="F184" s="43">
        <v>1.2999999999999999E-4</v>
      </c>
      <c r="G184" s="43">
        <v>0</v>
      </c>
      <c r="H184" s="43">
        <v>1</v>
      </c>
      <c r="I184" s="44">
        <v>18</v>
      </c>
      <c r="J184" s="49" t="str">
        <f t="shared" si="9"/>
        <v>TAK</v>
      </c>
      <c r="K184" s="42">
        <v>-5.3999999999999998E-5</v>
      </c>
      <c r="L184" s="42">
        <v>2.4899999999999998E-4</v>
      </c>
      <c r="M184" s="42">
        <v>0</v>
      </c>
      <c r="N184" s="43">
        <v>1</v>
      </c>
      <c r="O184" s="44">
        <v>26</v>
      </c>
      <c r="P184" s="49" t="str">
        <f t="shared" si="10"/>
        <v>TAK</v>
      </c>
      <c r="Q184" s="40">
        <v>1.0705359999999999</v>
      </c>
      <c r="R184" s="43">
        <v>-0.53499099999999999</v>
      </c>
      <c r="S184" s="43">
        <v>0.87736199999999998</v>
      </c>
      <c r="T184" s="43">
        <v>1</v>
      </c>
      <c r="U184" s="43">
        <v>31</v>
      </c>
      <c r="V184" s="44">
        <v>31</v>
      </c>
      <c r="W184" s="49" t="str">
        <f t="shared" si="11"/>
        <v>NIE</v>
      </c>
    </row>
    <row r="185" spans="1:23" x14ac:dyDescent="0.3">
      <c r="A185" s="68"/>
      <c r="B185" s="24">
        <v>82</v>
      </c>
      <c r="C185" s="40">
        <v>0.62693299999999996</v>
      </c>
      <c r="D185" s="41">
        <v>0.787524</v>
      </c>
      <c r="E185" s="42">
        <v>-4.0000000000000003E-5</v>
      </c>
      <c r="F185" s="43">
        <v>9.7E-5</v>
      </c>
      <c r="G185" s="43">
        <v>0</v>
      </c>
      <c r="H185" s="43">
        <v>1</v>
      </c>
      <c r="I185" s="44">
        <v>16</v>
      </c>
      <c r="J185" s="49" t="str">
        <f t="shared" si="9"/>
        <v>TAK</v>
      </c>
      <c r="K185" s="42">
        <v>-1.4E-5</v>
      </c>
      <c r="L185" s="42">
        <v>3.5199999999999999E-4</v>
      </c>
      <c r="M185" s="42">
        <v>0</v>
      </c>
      <c r="N185" s="43">
        <v>1</v>
      </c>
      <c r="O185" s="44">
        <v>23</v>
      </c>
      <c r="P185" s="49" t="str">
        <f t="shared" si="10"/>
        <v>TAK</v>
      </c>
      <c r="Q185" s="40">
        <v>1.0705480000000001</v>
      </c>
      <c r="R185" s="43">
        <v>-0.53501200000000004</v>
      </c>
      <c r="S185" s="43">
        <v>0.87736199999999998</v>
      </c>
      <c r="T185" s="43">
        <v>1</v>
      </c>
      <c r="U185" s="43">
        <v>29</v>
      </c>
      <c r="V185" s="44">
        <v>29</v>
      </c>
      <c r="W185" s="49" t="str">
        <f t="shared" si="11"/>
        <v>NIE</v>
      </c>
    </row>
    <row r="186" spans="1:23" x14ac:dyDescent="0.3">
      <c r="A186" s="68"/>
      <c r="B186" s="24">
        <v>83</v>
      </c>
      <c r="C186" s="40">
        <v>0.55896299999999999</v>
      </c>
      <c r="D186" s="41">
        <v>0.18653</v>
      </c>
      <c r="E186" s="42">
        <v>4.8999999999999998E-5</v>
      </c>
      <c r="F186" s="43">
        <v>-1.1900000000000001E-4</v>
      </c>
      <c r="G186" s="43">
        <v>0</v>
      </c>
      <c r="H186" s="43">
        <v>1</v>
      </c>
      <c r="I186" s="44">
        <v>14</v>
      </c>
      <c r="J186" s="49" t="str">
        <f t="shared" si="9"/>
        <v>TAK</v>
      </c>
      <c r="K186" s="42">
        <v>1.74E-4</v>
      </c>
      <c r="L186" s="42">
        <v>-1.7200000000000001E-4</v>
      </c>
      <c r="M186" s="42">
        <v>0</v>
      </c>
      <c r="N186" s="43">
        <v>1</v>
      </c>
      <c r="O186" s="44">
        <v>23</v>
      </c>
      <c r="P186" s="49" t="str">
        <f t="shared" si="10"/>
        <v>TAK</v>
      </c>
      <c r="Q186" s="40">
        <v>-1.747814</v>
      </c>
      <c r="R186" s="43">
        <v>0.87390699999999999</v>
      </c>
      <c r="S186" s="43">
        <v>0.29863899999999999</v>
      </c>
      <c r="T186" s="43">
        <v>1</v>
      </c>
      <c r="U186" s="43">
        <v>54</v>
      </c>
      <c r="V186" s="44">
        <v>54</v>
      </c>
      <c r="W186" s="49" t="str">
        <f t="shared" si="11"/>
        <v>NIE</v>
      </c>
    </row>
    <row r="187" spans="1:23" x14ac:dyDescent="0.3">
      <c r="A187" s="68"/>
      <c r="B187" s="24">
        <v>84</v>
      </c>
      <c r="C187" s="40">
        <v>1.735349</v>
      </c>
      <c r="D187" s="41">
        <v>7.0460999999999996E-2</v>
      </c>
      <c r="E187" s="42" t="s">
        <v>30</v>
      </c>
      <c r="F187" s="43" t="s">
        <v>30</v>
      </c>
      <c r="G187" s="43" t="s">
        <v>30</v>
      </c>
      <c r="H187" s="43" t="s">
        <v>30</v>
      </c>
      <c r="I187" s="44" t="s">
        <v>30</v>
      </c>
      <c r="J187" s="49" t="e">
        <f t="shared" si="9"/>
        <v>#VALUE!</v>
      </c>
      <c r="K187" s="42" t="s">
        <v>22</v>
      </c>
      <c r="L187" s="42" t="s">
        <v>22</v>
      </c>
      <c r="M187" s="42" t="s">
        <v>22</v>
      </c>
      <c r="N187" s="43">
        <v>1</v>
      </c>
      <c r="O187" s="44">
        <v>22</v>
      </c>
      <c r="P187" s="49" t="e">
        <f t="shared" si="10"/>
        <v>#VALUE!</v>
      </c>
      <c r="Q187" s="40">
        <v>1.747549</v>
      </c>
      <c r="R187" s="43">
        <v>-0.87347600000000003</v>
      </c>
      <c r="S187" s="43">
        <v>0.29863899999999999</v>
      </c>
      <c r="T187" s="43">
        <v>1</v>
      </c>
      <c r="U187" s="43">
        <v>28</v>
      </c>
      <c r="V187" s="44">
        <v>28</v>
      </c>
      <c r="W187" s="49" t="str">
        <f t="shared" si="11"/>
        <v>NIE</v>
      </c>
    </row>
    <row r="188" spans="1:23" x14ac:dyDescent="0.3">
      <c r="A188" s="68"/>
      <c r="B188" s="24">
        <v>85</v>
      </c>
      <c r="C188" s="40">
        <v>1.4574750000000001</v>
      </c>
      <c r="D188" s="41">
        <v>0.30587599999999998</v>
      </c>
      <c r="E188" s="42" t="s">
        <v>30</v>
      </c>
      <c r="F188" s="43" t="s">
        <v>30</v>
      </c>
      <c r="G188" s="43" t="s">
        <v>30</v>
      </c>
      <c r="H188" s="43" t="s">
        <v>30</v>
      </c>
      <c r="I188" s="44" t="s">
        <v>30</v>
      </c>
      <c r="J188" s="49" t="e">
        <f t="shared" si="9"/>
        <v>#VALUE!</v>
      </c>
      <c r="K188" s="42" t="s">
        <v>22</v>
      </c>
      <c r="L188" s="42" t="s">
        <v>22</v>
      </c>
      <c r="M188" s="42" t="s">
        <v>22</v>
      </c>
      <c r="N188" s="43">
        <v>1</v>
      </c>
      <c r="O188" s="44">
        <v>40</v>
      </c>
      <c r="P188" s="49" t="e">
        <f t="shared" si="10"/>
        <v>#VALUE!</v>
      </c>
      <c r="Q188" s="40">
        <v>1.0705169999999999</v>
      </c>
      <c r="R188" s="43">
        <v>-0.53501200000000004</v>
      </c>
      <c r="S188" s="43">
        <v>0.87736199999999998</v>
      </c>
      <c r="T188" s="43">
        <v>1</v>
      </c>
      <c r="U188" s="43">
        <v>29</v>
      </c>
      <c r="V188" s="44">
        <v>29</v>
      </c>
      <c r="W188" s="49" t="str">
        <f t="shared" si="11"/>
        <v>NIE</v>
      </c>
    </row>
    <row r="189" spans="1:23" x14ac:dyDescent="0.3">
      <c r="A189" s="68"/>
      <c r="B189" s="24">
        <v>86</v>
      </c>
      <c r="C189" s="40">
        <v>0.72370000000000001</v>
      </c>
      <c r="D189" s="41">
        <v>1.7138450000000001</v>
      </c>
      <c r="E189" s="42">
        <v>-4.6999999999999997E-5</v>
      </c>
      <c r="F189" s="43">
        <v>1.15E-4</v>
      </c>
      <c r="G189" s="43">
        <v>0</v>
      </c>
      <c r="H189" s="43">
        <v>1</v>
      </c>
      <c r="I189" s="44">
        <v>18</v>
      </c>
      <c r="J189" s="49" t="str">
        <f t="shared" si="9"/>
        <v>TAK</v>
      </c>
      <c r="K189" s="42">
        <v>-8.3999999999999995E-5</v>
      </c>
      <c r="L189" s="42">
        <v>4.1100000000000002E-4</v>
      </c>
      <c r="M189" s="42">
        <v>0</v>
      </c>
      <c r="N189" s="43">
        <v>1</v>
      </c>
      <c r="O189" s="44">
        <v>23</v>
      </c>
      <c r="P189" s="49" t="str">
        <f t="shared" si="10"/>
        <v>TAK</v>
      </c>
      <c r="Q189" s="40">
        <v>1.070514</v>
      </c>
      <c r="R189" s="43">
        <v>-0.53497899999999998</v>
      </c>
      <c r="S189" s="43">
        <v>0.87736199999999998</v>
      </c>
      <c r="T189" s="43">
        <v>1</v>
      </c>
      <c r="U189" s="43">
        <v>31</v>
      </c>
      <c r="V189" s="44">
        <v>31</v>
      </c>
      <c r="W189" s="49" t="str">
        <f t="shared" si="11"/>
        <v>NIE</v>
      </c>
    </row>
    <row r="190" spans="1:23" x14ac:dyDescent="0.3">
      <c r="A190" s="68"/>
      <c r="B190" s="24">
        <v>87</v>
      </c>
      <c r="C190" s="40">
        <v>1.1469609999999999</v>
      </c>
      <c r="D190" s="41">
        <v>1.8014319999999999</v>
      </c>
      <c r="E190" s="42">
        <v>-5.3999999999999998E-5</v>
      </c>
      <c r="F190" s="43">
        <v>1.3100000000000001E-4</v>
      </c>
      <c r="G190" s="43">
        <v>0</v>
      </c>
      <c r="H190" s="43">
        <v>1</v>
      </c>
      <c r="I190" s="44">
        <v>15</v>
      </c>
      <c r="J190" s="49" t="str">
        <f t="shared" si="9"/>
        <v>TAK</v>
      </c>
      <c r="K190" s="42">
        <v>2.4499999999999999E-4</v>
      </c>
      <c r="L190" s="42">
        <v>-3.9899999999999999E-4</v>
      </c>
      <c r="M190" s="42">
        <v>0</v>
      </c>
      <c r="N190" s="43">
        <v>1</v>
      </c>
      <c r="O190" s="44">
        <v>23</v>
      </c>
      <c r="P190" s="49" t="str">
        <f t="shared" si="10"/>
        <v>TAK</v>
      </c>
      <c r="Q190" s="40">
        <v>1.0705499999999999</v>
      </c>
      <c r="R190" s="43">
        <v>-0.53503599999999996</v>
      </c>
      <c r="S190" s="43">
        <v>0.87736199999999998</v>
      </c>
      <c r="T190" s="43">
        <v>1</v>
      </c>
      <c r="U190" s="43">
        <v>32</v>
      </c>
      <c r="V190" s="44">
        <v>32</v>
      </c>
      <c r="W190" s="49" t="str">
        <f t="shared" si="11"/>
        <v>NIE</v>
      </c>
    </row>
    <row r="191" spans="1:23" x14ac:dyDescent="0.3">
      <c r="A191" s="68"/>
      <c r="B191" s="24">
        <v>88</v>
      </c>
      <c r="C191" s="40">
        <v>1.984453</v>
      </c>
      <c r="D191" s="41">
        <v>6.0178000000000002E-2</v>
      </c>
      <c r="E191" s="42">
        <v>5.1E-5</v>
      </c>
      <c r="F191" s="43">
        <v>-1.2400000000000001E-4</v>
      </c>
      <c r="G191" s="43">
        <v>0</v>
      </c>
      <c r="H191" s="43">
        <v>1</v>
      </c>
      <c r="I191" s="44">
        <v>18</v>
      </c>
      <c r="J191" s="49" t="str">
        <f t="shared" si="9"/>
        <v>TAK</v>
      </c>
      <c r="K191" s="42">
        <v>-1.56E-4</v>
      </c>
      <c r="L191" s="42">
        <v>2.3800000000000001E-4</v>
      </c>
      <c r="M191" s="42">
        <v>0</v>
      </c>
      <c r="N191" s="43">
        <v>1</v>
      </c>
      <c r="O191" s="44">
        <v>32</v>
      </c>
      <c r="P191" s="49" t="str">
        <f t="shared" si="10"/>
        <v>TAK</v>
      </c>
      <c r="Q191" s="40">
        <v>1.747709</v>
      </c>
      <c r="R191" s="43">
        <v>-0.87351999999999996</v>
      </c>
      <c r="S191" s="43">
        <v>0.29863899999999999</v>
      </c>
      <c r="T191" s="43">
        <v>1</v>
      </c>
      <c r="U191" s="43">
        <v>28</v>
      </c>
      <c r="V191" s="44">
        <v>28</v>
      </c>
      <c r="W191" s="49" t="str">
        <f t="shared" si="11"/>
        <v>NIE</v>
      </c>
    </row>
    <row r="192" spans="1:23" x14ac:dyDescent="0.3">
      <c r="A192" s="68"/>
      <c r="B192" s="24">
        <v>89</v>
      </c>
      <c r="C192" s="40">
        <v>1.8720380000000001</v>
      </c>
      <c r="D192" s="41">
        <v>0.48905199999999999</v>
      </c>
      <c r="E192" s="42">
        <v>4.0000000000000003E-5</v>
      </c>
      <c r="F192" s="43">
        <v>-9.6000000000000002E-5</v>
      </c>
      <c r="G192" s="43">
        <v>0</v>
      </c>
      <c r="H192" s="43">
        <v>1</v>
      </c>
      <c r="I192" s="44">
        <v>21</v>
      </c>
      <c r="J192" s="49" t="str">
        <f t="shared" si="9"/>
        <v>TAK</v>
      </c>
      <c r="K192" s="42" t="s">
        <v>22</v>
      </c>
      <c r="L192" s="42" t="e" cm="1">
        <f t="array" ref="L192">-inf</f>
        <v>#NAME?</v>
      </c>
      <c r="M192" s="42" t="s">
        <v>22</v>
      </c>
      <c r="N192" s="43">
        <v>1</v>
      </c>
      <c r="O192" s="44">
        <v>22</v>
      </c>
      <c r="P192" s="49" t="e">
        <f t="shared" si="10"/>
        <v>#VALUE!</v>
      </c>
      <c r="Q192" s="40">
        <v>1.7475860000000001</v>
      </c>
      <c r="R192" s="43">
        <v>-0.87353800000000004</v>
      </c>
      <c r="S192" s="43">
        <v>0.29863899999999999</v>
      </c>
      <c r="T192" s="43">
        <v>1</v>
      </c>
      <c r="U192" s="43">
        <v>30</v>
      </c>
      <c r="V192" s="44">
        <v>30</v>
      </c>
      <c r="W192" s="49" t="str">
        <f t="shared" si="11"/>
        <v>NIE</v>
      </c>
    </row>
    <row r="193" spans="1:23" x14ac:dyDescent="0.3">
      <c r="A193" s="68"/>
      <c r="B193" s="24">
        <v>90</v>
      </c>
      <c r="C193" s="40">
        <v>0.98757600000000001</v>
      </c>
      <c r="D193" s="41">
        <v>1.007163</v>
      </c>
      <c r="E193" s="42">
        <v>4.8000000000000001E-5</v>
      </c>
      <c r="F193" s="43">
        <v>-1.17E-4</v>
      </c>
      <c r="G193" s="43">
        <v>0</v>
      </c>
      <c r="H193" s="43">
        <v>1</v>
      </c>
      <c r="I193" s="44">
        <v>13</v>
      </c>
      <c r="J193" s="49" t="str">
        <f t="shared" si="9"/>
        <v>TAK</v>
      </c>
      <c r="K193" s="42">
        <v>0</v>
      </c>
      <c r="L193" s="42">
        <v>-2.7300000000000002E-4</v>
      </c>
      <c r="M193" s="42">
        <v>0</v>
      </c>
      <c r="N193" s="43">
        <v>1</v>
      </c>
      <c r="O193" s="44">
        <v>29</v>
      </c>
      <c r="P193" s="49" t="str">
        <f t="shared" si="10"/>
        <v>TAK</v>
      </c>
      <c r="Q193" s="40">
        <v>1.0705279999999999</v>
      </c>
      <c r="R193" s="43">
        <v>-0.53499600000000003</v>
      </c>
      <c r="S193" s="43">
        <v>0.87736199999999998</v>
      </c>
      <c r="T193" s="43">
        <v>1</v>
      </c>
      <c r="U193" s="43">
        <v>30</v>
      </c>
      <c r="V193" s="44">
        <v>30</v>
      </c>
      <c r="W193" s="49" t="str">
        <f t="shared" si="11"/>
        <v>NIE</v>
      </c>
    </row>
    <row r="194" spans="1:23" x14ac:dyDescent="0.3">
      <c r="A194" s="68"/>
      <c r="B194" s="24">
        <v>91</v>
      </c>
      <c r="C194" s="40">
        <v>0.716364</v>
      </c>
      <c r="D194" s="41">
        <v>1.934318</v>
      </c>
      <c r="E194" s="42">
        <v>-5.7000000000000003E-5</v>
      </c>
      <c r="F194" s="43">
        <v>1.3799999999999999E-4</v>
      </c>
      <c r="G194" s="43">
        <v>0</v>
      </c>
      <c r="H194" s="43">
        <v>1</v>
      </c>
      <c r="I194" s="44">
        <v>18</v>
      </c>
      <c r="J194" s="49" t="str">
        <f t="shared" si="9"/>
        <v>TAK</v>
      </c>
      <c r="K194" s="42">
        <v>-1.2300000000000001E-4</v>
      </c>
      <c r="L194" s="42">
        <v>5.1199999999999998E-4</v>
      </c>
      <c r="M194" s="42">
        <v>0</v>
      </c>
      <c r="N194" s="43">
        <v>1</v>
      </c>
      <c r="O194" s="44">
        <v>23</v>
      </c>
      <c r="P194" s="49" t="str">
        <f t="shared" si="10"/>
        <v>TAK</v>
      </c>
      <c r="Q194" s="40">
        <v>1.070522</v>
      </c>
      <c r="R194" s="43">
        <v>-0.53503000000000001</v>
      </c>
      <c r="S194" s="43">
        <v>0.87736199999999998</v>
      </c>
      <c r="T194" s="43">
        <v>1</v>
      </c>
      <c r="U194" s="43">
        <v>32</v>
      </c>
      <c r="V194" s="44">
        <v>32</v>
      </c>
      <c r="W194" s="49" t="str">
        <f t="shared" si="11"/>
        <v>NIE</v>
      </c>
    </row>
    <row r="195" spans="1:23" x14ac:dyDescent="0.3">
      <c r="A195" s="68"/>
      <c r="B195" s="24">
        <v>92</v>
      </c>
      <c r="C195" s="40">
        <v>1.3890450000000001</v>
      </c>
      <c r="D195" s="41">
        <v>0.87285900000000005</v>
      </c>
      <c r="E195" s="42" t="s">
        <v>30</v>
      </c>
      <c r="F195" s="43" t="s">
        <v>30</v>
      </c>
      <c r="G195" s="43" t="s">
        <v>30</v>
      </c>
      <c r="H195" s="43" t="s">
        <v>30</v>
      </c>
      <c r="I195" s="44" t="s">
        <v>30</v>
      </c>
      <c r="J195" s="49" t="e">
        <f t="shared" ref="J195:J258" si="12">IF(ABS(G195) &lt; 0.01,"TAK","NIE")</f>
        <v>#VALUE!</v>
      </c>
      <c r="K195" s="42" t="s">
        <v>22</v>
      </c>
      <c r="L195" s="42" t="s">
        <v>22</v>
      </c>
      <c r="M195" s="42" t="s">
        <v>22</v>
      </c>
      <c r="N195" s="43">
        <v>1</v>
      </c>
      <c r="O195" s="44">
        <v>22</v>
      </c>
      <c r="P195" s="49" t="e">
        <f t="shared" ref="P195:P258" si="13">IF(ABS(M195) &lt; 0.01,"TAK","NIE")</f>
        <v>#VALUE!</v>
      </c>
      <c r="Q195" s="40">
        <v>1.070584</v>
      </c>
      <c r="R195" s="43">
        <v>-0.53501200000000004</v>
      </c>
      <c r="S195" s="43">
        <v>0.87736199999999998</v>
      </c>
      <c r="T195" s="43">
        <v>1</v>
      </c>
      <c r="U195" s="43">
        <v>30</v>
      </c>
      <c r="V195" s="44">
        <v>30</v>
      </c>
      <c r="W195" s="49" t="str">
        <f t="shared" ref="W195:W258" si="14">IF(ABS(S195) &lt; 0.01,"TAK","NIE")</f>
        <v>NIE</v>
      </c>
    </row>
    <row r="196" spans="1:23" x14ac:dyDescent="0.3">
      <c r="A196" s="68"/>
      <c r="B196" s="24">
        <v>93</v>
      </c>
      <c r="C196" s="40">
        <v>0.41634700000000002</v>
      </c>
      <c r="D196" s="41">
        <v>1.932712</v>
      </c>
      <c r="E196" s="42">
        <v>-4.5000000000000003E-5</v>
      </c>
      <c r="F196" s="43">
        <v>1.08E-4</v>
      </c>
      <c r="G196" s="43">
        <v>0</v>
      </c>
      <c r="H196" s="43">
        <v>1</v>
      </c>
      <c r="I196" s="44">
        <v>19</v>
      </c>
      <c r="J196" s="49" t="str">
        <f t="shared" si="12"/>
        <v>TAK</v>
      </c>
      <c r="K196" s="42">
        <v>-7.1000000000000005E-5</v>
      </c>
      <c r="L196" s="42">
        <v>3.1799999999999998E-4</v>
      </c>
      <c r="M196" s="42">
        <v>0</v>
      </c>
      <c r="N196" s="43">
        <v>1</v>
      </c>
      <c r="O196" s="44">
        <v>26</v>
      </c>
      <c r="P196" s="49" t="str">
        <f t="shared" si="13"/>
        <v>TAK</v>
      </c>
      <c r="Q196" s="40">
        <v>3.4999999999999997E-5</v>
      </c>
      <c r="R196" s="43">
        <v>2.6899999999999998E-4</v>
      </c>
      <c r="S196" s="43">
        <v>0</v>
      </c>
      <c r="T196" s="43">
        <v>1</v>
      </c>
      <c r="U196" s="43">
        <v>31</v>
      </c>
      <c r="V196" s="44">
        <v>31</v>
      </c>
      <c r="W196" s="49" t="str">
        <f t="shared" si="14"/>
        <v>TAK</v>
      </c>
    </row>
    <row r="197" spans="1:23" x14ac:dyDescent="0.3">
      <c r="A197" s="68"/>
      <c r="B197" s="24">
        <v>94</v>
      </c>
      <c r="C197" s="40">
        <v>0.67473700000000003</v>
      </c>
      <c r="D197" s="41">
        <v>1.164528</v>
      </c>
      <c r="E197" s="42">
        <v>-4.6E-5</v>
      </c>
      <c r="F197" s="43">
        <v>1.1E-4</v>
      </c>
      <c r="G197" s="43">
        <v>0</v>
      </c>
      <c r="H197" s="43">
        <v>1</v>
      </c>
      <c r="I197" s="44">
        <v>17</v>
      </c>
      <c r="J197" s="49" t="str">
        <f t="shared" si="12"/>
        <v>TAK</v>
      </c>
      <c r="K197" s="42">
        <v>-3.3000000000000003E-5</v>
      </c>
      <c r="L197" s="42">
        <v>3.4400000000000001E-4</v>
      </c>
      <c r="M197" s="42">
        <v>0</v>
      </c>
      <c r="N197" s="43">
        <v>1</v>
      </c>
      <c r="O197" s="44">
        <v>23</v>
      </c>
      <c r="P197" s="49" t="str">
        <f t="shared" si="13"/>
        <v>TAK</v>
      </c>
      <c r="Q197" s="40">
        <v>1.0705119999999999</v>
      </c>
      <c r="R197" s="43">
        <v>-0.53498800000000002</v>
      </c>
      <c r="S197" s="43">
        <v>0.87736199999999998</v>
      </c>
      <c r="T197" s="43">
        <v>1</v>
      </c>
      <c r="U197" s="43">
        <v>30</v>
      </c>
      <c r="V197" s="44">
        <v>30</v>
      </c>
      <c r="W197" s="49" t="str">
        <f t="shared" si="14"/>
        <v>NIE</v>
      </c>
    </row>
    <row r="198" spans="1:23" x14ac:dyDescent="0.3">
      <c r="A198" s="68"/>
      <c r="B198" s="24">
        <v>95</v>
      </c>
      <c r="C198" s="40">
        <v>1.5535399999999999</v>
      </c>
      <c r="D198" s="41">
        <v>0.14460500000000001</v>
      </c>
      <c r="E198" s="42" t="s">
        <v>30</v>
      </c>
      <c r="F198" s="43" t="s">
        <v>30</v>
      </c>
      <c r="G198" s="43" t="s">
        <v>30</v>
      </c>
      <c r="H198" s="43" t="s">
        <v>30</v>
      </c>
      <c r="I198" s="44" t="s">
        <v>30</v>
      </c>
      <c r="J198" s="49" t="e">
        <f t="shared" si="12"/>
        <v>#VALUE!</v>
      </c>
      <c r="K198" s="42" t="s">
        <v>22</v>
      </c>
      <c r="L198" s="42" t="s">
        <v>22</v>
      </c>
      <c r="M198" s="42" t="s">
        <v>22</v>
      </c>
      <c r="N198" s="43">
        <v>1</v>
      </c>
      <c r="O198" s="44">
        <v>28</v>
      </c>
      <c r="P198" s="49" t="e">
        <f t="shared" si="13"/>
        <v>#VALUE!</v>
      </c>
      <c r="Q198" s="40">
        <v>1.747539</v>
      </c>
      <c r="R198" s="43">
        <v>-0.87355000000000005</v>
      </c>
      <c r="S198" s="43">
        <v>0.29863800000000001</v>
      </c>
      <c r="T198" s="43">
        <v>1</v>
      </c>
      <c r="U198" s="43">
        <v>29</v>
      </c>
      <c r="V198" s="44">
        <v>29</v>
      </c>
      <c r="W198" s="49" t="str">
        <f t="shared" si="14"/>
        <v>NIE</v>
      </c>
    </row>
    <row r="199" spans="1:23" x14ac:dyDescent="0.3">
      <c r="A199" s="68"/>
      <c r="B199" s="24">
        <v>96</v>
      </c>
      <c r="C199" s="40">
        <v>1.56088</v>
      </c>
      <c r="D199" s="41">
        <v>1.381467</v>
      </c>
      <c r="E199" s="42" t="s">
        <v>30</v>
      </c>
      <c r="F199" s="43" t="s">
        <v>30</v>
      </c>
      <c r="G199" s="43" t="s">
        <v>30</v>
      </c>
      <c r="H199" s="43" t="s">
        <v>30</v>
      </c>
      <c r="I199" s="44" t="s">
        <v>30</v>
      </c>
      <c r="J199" s="49" t="e">
        <f t="shared" si="12"/>
        <v>#VALUE!</v>
      </c>
      <c r="K199" s="42" t="s">
        <v>22</v>
      </c>
      <c r="L199" s="42" t="s">
        <v>22</v>
      </c>
      <c r="M199" s="42" t="s">
        <v>22</v>
      </c>
      <c r="N199" s="43">
        <v>1</v>
      </c>
      <c r="O199" s="44">
        <v>22</v>
      </c>
      <c r="P199" s="49" t="e">
        <f t="shared" si="13"/>
        <v>#VALUE!</v>
      </c>
      <c r="Q199" s="40">
        <v>1.747544</v>
      </c>
      <c r="R199" s="43">
        <v>-0.87348199999999998</v>
      </c>
      <c r="S199" s="43">
        <v>0.29863899999999999</v>
      </c>
      <c r="T199" s="43">
        <v>1</v>
      </c>
      <c r="U199" s="43">
        <v>31</v>
      </c>
      <c r="V199" s="44">
        <v>31</v>
      </c>
      <c r="W199" s="49" t="str">
        <f t="shared" si="14"/>
        <v>NIE</v>
      </c>
    </row>
    <row r="200" spans="1:23" x14ac:dyDescent="0.3">
      <c r="A200" s="68"/>
      <c r="B200" s="24">
        <v>97</v>
      </c>
      <c r="C200" s="40">
        <v>0.50963700000000001</v>
      </c>
      <c r="D200" s="41">
        <v>0.26578600000000002</v>
      </c>
      <c r="E200" s="42">
        <v>4.8000000000000001E-5</v>
      </c>
      <c r="F200" s="43">
        <v>-1.16E-4</v>
      </c>
      <c r="G200" s="43">
        <v>0</v>
      </c>
      <c r="H200" s="43">
        <v>1</v>
      </c>
      <c r="I200" s="44">
        <v>11</v>
      </c>
      <c r="J200" s="49" t="str">
        <f t="shared" si="12"/>
        <v>TAK</v>
      </c>
      <c r="K200" s="42">
        <v>2.6999999999999999E-5</v>
      </c>
      <c r="L200" s="42">
        <v>-1.8200000000000001E-4</v>
      </c>
      <c r="M200" s="42">
        <v>0</v>
      </c>
      <c r="N200" s="43">
        <v>1</v>
      </c>
      <c r="O200" s="44">
        <v>20</v>
      </c>
      <c r="P200" s="49" t="str">
        <f t="shared" si="13"/>
        <v>TAK</v>
      </c>
      <c r="Q200" s="40">
        <v>-2.8E-5</v>
      </c>
      <c r="R200" s="43">
        <v>2.34E-4</v>
      </c>
      <c r="S200" s="43">
        <v>0</v>
      </c>
      <c r="T200" s="43">
        <v>1</v>
      </c>
      <c r="U200" s="43">
        <v>27</v>
      </c>
      <c r="V200" s="44">
        <v>27</v>
      </c>
      <c r="W200" s="49" t="str">
        <f t="shared" si="14"/>
        <v>TAK</v>
      </c>
    </row>
    <row r="201" spans="1:23" x14ac:dyDescent="0.3">
      <c r="A201" s="68"/>
      <c r="B201" s="24">
        <v>98</v>
      </c>
      <c r="C201" s="40">
        <v>1.0351980000000001</v>
      </c>
      <c r="D201" s="41">
        <v>1.3417429999999999</v>
      </c>
      <c r="E201" s="42">
        <v>-4.5000000000000003E-5</v>
      </c>
      <c r="F201" s="43">
        <v>1.0900000000000001E-4</v>
      </c>
      <c r="G201" s="43">
        <v>0</v>
      </c>
      <c r="H201" s="43">
        <v>1</v>
      </c>
      <c r="I201" s="44">
        <v>14</v>
      </c>
      <c r="J201" s="49" t="str">
        <f t="shared" si="12"/>
        <v>TAK</v>
      </c>
      <c r="K201" s="42">
        <v>1.9999999999999999E-6</v>
      </c>
      <c r="L201" s="42">
        <v>-2.4499999999999999E-4</v>
      </c>
      <c r="M201" s="42">
        <v>0</v>
      </c>
      <c r="N201" s="43">
        <v>1</v>
      </c>
      <c r="O201" s="44">
        <v>29</v>
      </c>
      <c r="P201" s="49" t="str">
        <f t="shared" si="13"/>
        <v>TAK</v>
      </c>
      <c r="Q201" s="40">
        <v>1.070538</v>
      </c>
      <c r="R201" s="43">
        <v>-0.53502000000000005</v>
      </c>
      <c r="S201" s="43">
        <v>0.87736199999999998</v>
      </c>
      <c r="T201" s="43">
        <v>1</v>
      </c>
      <c r="U201" s="43">
        <v>31</v>
      </c>
      <c r="V201" s="44">
        <v>31</v>
      </c>
      <c r="W201" s="49" t="str">
        <f t="shared" si="14"/>
        <v>NIE</v>
      </c>
    </row>
    <row r="202" spans="1:23" x14ac:dyDescent="0.3">
      <c r="A202" s="68"/>
      <c r="B202" s="24">
        <v>99</v>
      </c>
      <c r="C202" s="40">
        <v>0.222162</v>
      </c>
      <c r="D202" s="41">
        <v>1.164115</v>
      </c>
      <c r="E202" s="42">
        <v>-4.3999999999999999E-5</v>
      </c>
      <c r="F202" s="43">
        <v>1.06E-4</v>
      </c>
      <c r="G202" s="43">
        <v>0</v>
      </c>
      <c r="H202" s="43">
        <v>1</v>
      </c>
      <c r="I202" s="44">
        <v>18</v>
      </c>
      <c r="J202" s="49" t="str">
        <f t="shared" si="12"/>
        <v>TAK</v>
      </c>
      <c r="K202" s="42">
        <v>-7.6000000000000004E-5</v>
      </c>
      <c r="L202" s="42">
        <v>2.72E-4</v>
      </c>
      <c r="M202" s="42">
        <v>0</v>
      </c>
      <c r="N202" s="43">
        <v>1</v>
      </c>
      <c r="O202" s="44">
        <v>26</v>
      </c>
      <c r="P202" s="49" t="str">
        <f t="shared" si="13"/>
        <v>TAK</v>
      </c>
      <c r="Q202" s="40">
        <v>4.8000000000000001E-5</v>
      </c>
      <c r="R202" s="43">
        <v>2.7999999999999998E-4</v>
      </c>
      <c r="S202" s="43">
        <v>0</v>
      </c>
      <c r="T202" s="43">
        <v>1</v>
      </c>
      <c r="U202" s="43">
        <v>29</v>
      </c>
      <c r="V202" s="44">
        <v>29</v>
      </c>
      <c r="W202" s="49" t="str">
        <f t="shared" si="14"/>
        <v>TAK</v>
      </c>
    </row>
    <row r="203" spans="1:23" ht="15" thickBot="1" x14ac:dyDescent="0.35">
      <c r="A203" s="69"/>
      <c r="B203" s="25">
        <v>100</v>
      </c>
      <c r="C203" s="36">
        <v>1.577474</v>
      </c>
      <c r="D203" s="45">
        <v>1.8048299999999999</v>
      </c>
      <c r="E203" s="46">
        <v>3.6999999999999998E-5</v>
      </c>
      <c r="F203" s="47">
        <v>-9.0000000000000006E-5</v>
      </c>
      <c r="G203" s="47">
        <v>0</v>
      </c>
      <c r="H203" s="47">
        <v>1</v>
      </c>
      <c r="I203" s="48">
        <v>24</v>
      </c>
      <c r="J203" s="49" t="str">
        <f t="shared" si="12"/>
        <v>TAK</v>
      </c>
      <c r="K203" s="46" t="s">
        <v>22</v>
      </c>
      <c r="L203" s="46" t="e" cm="1">
        <f t="array" ref="L203">-inf</f>
        <v>#NAME?</v>
      </c>
      <c r="M203" s="46" t="s">
        <v>22</v>
      </c>
      <c r="N203" s="47">
        <v>1</v>
      </c>
      <c r="O203" s="48">
        <v>25</v>
      </c>
      <c r="P203" s="49" t="e">
        <f t="shared" si="13"/>
        <v>#VALUE!</v>
      </c>
      <c r="Q203" s="36">
        <v>1.7475449999999999</v>
      </c>
      <c r="R203" s="47">
        <v>-0.87351199999999996</v>
      </c>
      <c r="S203" s="47">
        <v>0.29863899999999999</v>
      </c>
      <c r="T203" s="47">
        <v>1</v>
      </c>
      <c r="U203" s="47">
        <v>32</v>
      </c>
      <c r="V203" s="48">
        <v>32</v>
      </c>
      <c r="W203" s="49" t="str">
        <f t="shared" si="14"/>
        <v>NIE</v>
      </c>
    </row>
    <row r="204" spans="1:23" ht="15" thickBot="1" x14ac:dyDescent="0.35">
      <c r="A204" s="60" t="s">
        <v>29</v>
      </c>
      <c r="B204" s="60"/>
      <c r="C204" s="60">
        <f>AVERAGEIF($J104:$J203, "TAK", C104:C203)</f>
        <v>0.79946866666666638</v>
      </c>
      <c r="D204" s="60">
        <f t="shared" ref="D204" si="15">AVERAGEIF($J104:$J203, "TAK", D104:D203)</f>
        <v>1.0710522345679014</v>
      </c>
      <c r="E204" s="60">
        <f t="shared" ref="E204" si="16">AVERAGEIF($J104:$J203, "TAK", E104:E203)</f>
        <v>-1.030864197530864E-5</v>
      </c>
      <c r="F204" s="60">
        <f t="shared" ref="F204" si="17">AVERAGEIF($J104:$J203, "TAK", F104:F203)</f>
        <v>2.4864197530864205E-5</v>
      </c>
      <c r="G204" s="60">
        <f t="shared" ref="G204" si="18">AVERAGEIF($J104:$J203, "TAK", G104:G203)</f>
        <v>0</v>
      </c>
      <c r="H204" s="60">
        <f t="shared" ref="H204" si="19">AVERAGEIF($J104:$J203, "TAK", H104:H203)</f>
        <v>1</v>
      </c>
      <c r="I204" s="60">
        <f t="shared" ref="I204" si="20">AVERAGEIF($J104:$J203, "TAK", I104:I203)</f>
        <v>17.135802469135804</v>
      </c>
      <c r="J204" s="60">
        <f>COUNTIF(J104:J203, "TAK")</f>
        <v>81</v>
      </c>
      <c r="K204" s="60">
        <f>AVERAGEIF($P104:$P203, "TAK", K104:K203)</f>
        <v>-2.2300000000000003E-5</v>
      </c>
      <c r="L204" s="60">
        <f t="shared" ref="L204" si="21">AVERAGEIF($P104:$P203, "TAK", L104:L203)</f>
        <v>1.4398571428571425E-4</v>
      </c>
      <c r="M204" s="60">
        <f t="shared" ref="M204" si="22">AVERAGEIF($P104:$P203, "TAK", M104:M203)</f>
        <v>0</v>
      </c>
      <c r="N204" s="60">
        <f t="shared" ref="N204" si="23">AVERAGEIF($P104:$P203, "TAK", N104:N203)</f>
        <v>1</v>
      </c>
      <c r="O204" s="60">
        <f t="shared" ref="O204" si="24">AVERAGEIF($P104:$P203, "TAK", O104:O203)</f>
        <v>26.042857142857144</v>
      </c>
      <c r="P204" s="60">
        <f>COUNTIF(P104:P203, "TAK")</f>
        <v>70</v>
      </c>
      <c r="Q204" s="60">
        <f>AVERAGEIF($W104:$W203, "TAK", Q104:Q203)</f>
        <v>5.0241379310344827E-5</v>
      </c>
      <c r="R204" s="60">
        <f t="shared" ref="R204" si="25">AVERAGEIF($W104:$W203, "TAK", R104:R203)</f>
        <v>2.4399999999999999E-4</v>
      </c>
      <c r="S204" s="60">
        <f t="shared" ref="S204" si="26">AVERAGEIF($W104:$W203, "TAK", S104:S203)</f>
        <v>0</v>
      </c>
      <c r="T204" s="60">
        <f t="shared" ref="T204" si="27">AVERAGEIF($W104:$W203, "TAK", T104:T203)</f>
        <v>1</v>
      </c>
      <c r="U204" s="60">
        <f t="shared" ref="U204" si="28">AVERAGEIF($W104:$W203, "TAK", U104:U203)</f>
        <v>28.517241379310345</v>
      </c>
      <c r="V204" s="60">
        <f t="shared" ref="V204" si="29">AVERAGEIF($W104:$W203, "TAK", V104:V203)</f>
        <v>28.517241379310345</v>
      </c>
      <c r="W204" s="60">
        <f>COUNTIF(W104:W203, "TAK")</f>
        <v>29</v>
      </c>
    </row>
    <row r="205" spans="1:23" x14ac:dyDescent="0.3">
      <c r="A205" s="67" t="s">
        <v>13</v>
      </c>
      <c r="B205" s="26">
        <v>1</v>
      </c>
      <c r="C205" s="37">
        <v>1.8496330000000001</v>
      </c>
      <c r="D205" s="49">
        <v>1.4703310000000001</v>
      </c>
      <c r="E205" s="50">
        <v>3.0000000000000001E-5</v>
      </c>
      <c r="F205" s="38">
        <v>-4.6E-5</v>
      </c>
      <c r="G205" s="38">
        <v>0</v>
      </c>
      <c r="H205" s="38">
        <v>438</v>
      </c>
      <c r="I205" s="39">
        <v>11</v>
      </c>
      <c r="J205" s="49" t="str">
        <f t="shared" si="12"/>
        <v>TAK</v>
      </c>
      <c r="K205" s="50">
        <v>-1.8E-5</v>
      </c>
      <c r="L205" s="50">
        <v>-3.0200000000000002E-4</v>
      </c>
      <c r="M205" s="50">
        <v>0</v>
      </c>
      <c r="N205" s="38">
        <v>276</v>
      </c>
      <c r="O205" s="39">
        <v>20</v>
      </c>
      <c r="P205" s="49" t="str">
        <f t="shared" si="13"/>
        <v>TAK</v>
      </c>
      <c r="Q205" s="37">
        <v>1.747552</v>
      </c>
      <c r="R205" s="38">
        <v>-0.873776</v>
      </c>
      <c r="S205" s="38">
        <v>0.29863800000000001</v>
      </c>
      <c r="T205" s="38">
        <v>190</v>
      </c>
      <c r="U205" s="38">
        <v>4</v>
      </c>
      <c r="V205" s="39">
        <v>4</v>
      </c>
      <c r="W205" s="49" t="str">
        <f t="shared" si="14"/>
        <v>NIE</v>
      </c>
    </row>
    <row r="206" spans="1:23" x14ac:dyDescent="0.3">
      <c r="A206" s="68"/>
      <c r="B206" s="24">
        <v>2</v>
      </c>
      <c r="C206" s="40">
        <v>1.499233</v>
      </c>
      <c r="D206" s="41">
        <v>1.2342219999999999</v>
      </c>
      <c r="E206" s="42">
        <v>1.747546</v>
      </c>
      <c r="F206" s="43">
        <v>-0.87365800000000005</v>
      </c>
      <c r="G206" s="43">
        <v>0.29863800000000001</v>
      </c>
      <c r="H206" s="43">
        <v>443</v>
      </c>
      <c r="I206" s="44">
        <v>12</v>
      </c>
      <c r="J206" s="49" t="str">
        <f t="shared" si="12"/>
        <v>NIE</v>
      </c>
      <c r="K206" s="42">
        <v>1.7476879999999999</v>
      </c>
      <c r="L206" s="42">
        <v>-0.87364200000000003</v>
      </c>
      <c r="M206" s="42">
        <v>0.29863899999999999</v>
      </c>
      <c r="N206" s="43">
        <v>335</v>
      </c>
      <c r="O206" s="44">
        <v>26</v>
      </c>
      <c r="P206" s="49" t="str">
        <f t="shared" si="13"/>
        <v>NIE</v>
      </c>
      <c r="Q206" s="40">
        <v>1.747552</v>
      </c>
      <c r="R206" s="43">
        <v>-0.873776</v>
      </c>
      <c r="S206" s="43">
        <v>0.29863800000000001</v>
      </c>
      <c r="T206" s="43">
        <v>219</v>
      </c>
      <c r="U206" s="43">
        <v>5</v>
      </c>
      <c r="V206" s="44">
        <v>5</v>
      </c>
      <c r="W206" s="49" t="str">
        <f t="shared" si="14"/>
        <v>NIE</v>
      </c>
    </row>
    <row r="207" spans="1:23" x14ac:dyDescent="0.3">
      <c r="A207" s="68"/>
      <c r="B207" s="24">
        <v>3</v>
      </c>
      <c r="C207" s="40">
        <v>1.1458999999999999</v>
      </c>
      <c r="D207" s="41">
        <v>1.476153</v>
      </c>
      <c r="E207" s="42">
        <v>3.8000000000000002E-5</v>
      </c>
      <c r="F207" s="43">
        <v>-4.1999999999999998E-5</v>
      </c>
      <c r="G207" s="43">
        <v>0</v>
      </c>
      <c r="H207" s="43">
        <v>537</v>
      </c>
      <c r="I207" s="44">
        <v>13</v>
      </c>
      <c r="J207" s="49" t="str">
        <f t="shared" si="12"/>
        <v>TAK</v>
      </c>
      <c r="K207" s="42">
        <v>-8.6000000000000003E-5</v>
      </c>
      <c r="L207" s="42">
        <v>2.03E-4</v>
      </c>
      <c r="M207" s="42">
        <v>0</v>
      </c>
      <c r="N207" s="43">
        <v>385</v>
      </c>
      <c r="O207" s="44">
        <v>29</v>
      </c>
      <c r="P207" s="49" t="str">
        <f t="shared" si="13"/>
        <v>TAK</v>
      </c>
      <c r="Q207" s="40">
        <v>1.747552</v>
      </c>
      <c r="R207" s="43">
        <v>-0.873776</v>
      </c>
      <c r="S207" s="43">
        <v>0.29863800000000001</v>
      </c>
      <c r="T207" s="43">
        <v>403</v>
      </c>
      <c r="U207" s="43">
        <v>5</v>
      </c>
      <c r="V207" s="44">
        <v>5</v>
      </c>
      <c r="W207" s="49" t="str">
        <f t="shared" si="14"/>
        <v>NIE</v>
      </c>
    </row>
    <row r="208" spans="1:23" x14ac:dyDescent="0.3">
      <c r="A208" s="68"/>
      <c r="B208" s="24">
        <v>4</v>
      </c>
      <c r="C208" s="40">
        <v>1.5638179999999999</v>
      </c>
      <c r="D208" s="41">
        <v>0.81767699999999999</v>
      </c>
      <c r="E208" s="42">
        <v>1.7475510000000001</v>
      </c>
      <c r="F208" s="43">
        <v>-0.87375599999999998</v>
      </c>
      <c r="G208" s="43">
        <v>0.29863800000000001</v>
      </c>
      <c r="H208" s="43">
        <v>433</v>
      </c>
      <c r="I208" s="44">
        <v>12</v>
      </c>
      <c r="J208" s="49" t="str">
        <f t="shared" si="12"/>
        <v>NIE</v>
      </c>
      <c r="K208" s="42">
        <v>1.74753</v>
      </c>
      <c r="L208" s="42">
        <v>-0.87368299999999999</v>
      </c>
      <c r="M208" s="42">
        <v>0.29863800000000001</v>
      </c>
      <c r="N208" s="43">
        <v>244</v>
      </c>
      <c r="O208" s="44">
        <v>20</v>
      </c>
      <c r="P208" s="49" t="str">
        <f t="shared" si="13"/>
        <v>NIE</v>
      </c>
      <c r="Q208" s="40">
        <v>1.747552</v>
      </c>
      <c r="R208" s="43">
        <v>-0.873776</v>
      </c>
      <c r="S208" s="43">
        <v>0.29863800000000001</v>
      </c>
      <c r="T208" s="43">
        <v>267</v>
      </c>
      <c r="U208" s="43">
        <v>5</v>
      </c>
      <c r="V208" s="44">
        <v>5</v>
      </c>
      <c r="W208" s="49" t="str">
        <f t="shared" si="14"/>
        <v>NIE</v>
      </c>
    </row>
    <row r="209" spans="1:23" x14ac:dyDescent="0.3">
      <c r="A209" s="68"/>
      <c r="B209" s="24">
        <v>5</v>
      </c>
      <c r="C209" s="40">
        <v>1.4353199999999999</v>
      </c>
      <c r="D209" s="41">
        <v>1.8853930000000001</v>
      </c>
      <c r="E209" s="42">
        <v>3.8000000000000002E-5</v>
      </c>
      <c r="F209" s="43">
        <v>-3.4E-5</v>
      </c>
      <c r="G209" s="43">
        <v>0</v>
      </c>
      <c r="H209" s="43">
        <v>528</v>
      </c>
      <c r="I209" s="44">
        <v>13</v>
      </c>
      <c r="J209" s="49" t="str">
        <f t="shared" si="12"/>
        <v>TAK</v>
      </c>
      <c r="K209" s="42">
        <v>2.8499999999999999E-4</v>
      </c>
      <c r="L209" s="42">
        <v>-1.354E-3</v>
      </c>
      <c r="M209" s="42">
        <v>1.9999999999999999E-6</v>
      </c>
      <c r="N209" s="43">
        <v>599</v>
      </c>
      <c r="O209" s="44">
        <v>53</v>
      </c>
      <c r="P209" s="49" t="str">
        <f t="shared" si="13"/>
        <v>TAK</v>
      </c>
      <c r="Q209" s="40">
        <v>0</v>
      </c>
      <c r="R209" s="43">
        <v>0</v>
      </c>
      <c r="S209" s="43">
        <v>0</v>
      </c>
      <c r="T209" s="43">
        <v>219</v>
      </c>
      <c r="U209" s="43">
        <v>4</v>
      </c>
      <c r="V209" s="44">
        <v>4</v>
      </c>
      <c r="W209" s="49" t="str">
        <f t="shared" si="14"/>
        <v>TAK</v>
      </c>
    </row>
    <row r="210" spans="1:23" x14ac:dyDescent="0.3">
      <c r="A210" s="68"/>
      <c r="B210" s="24">
        <v>6</v>
      </c>
      <c r="C210" s="40">
        <v>1.9875910000000001</v>
      </c>
      <c r="D210" s="41">
        <v>1.3244549999999999</v>
      </c>
      <c r="E210" s="42">
        <v>5.0000000000000004E-6</v>
      </c>
      <c r="F210" s="43">
        <v>5.0000000000000004E-6</v>
      </c>
      <c r="G210" s="43">
        <v>0</v>
      </c>
      <c r="H210" s="43">
        <v>258</v>
      </c>
      <c r="I210" s="44">
        <v>6</v>
      </c>
      <c r="J210" s="49" t="str">
        <f t="shared" si="12"/>
        <v>TAK</v>
      </c>
      <c r="K210" s="42">
        <v>5.0000000000000004E-6</v>
      </c>
      <c r="L210" s="42">
        <v>1.7E-5</v>
      </c>
      <c r="M210" s="42">
        <v>0</v>
      </c>
      <c r="N210" s="43">
        <v>165</v>
      </c>
      <c r="O210" s="44">
        <v>10</v>
      </c>
      <c r="P210" s="49" t="str">
        <f t="shared" si="13"/>
        <v>TAK</v>
      </c>
      <c r="Q210" s="40">
        <v>1.747552</v>
      </c>
      <c r="R210" s="43">
        <v>-0.873776</v>
      </c>
      <c r="S210" s="43">
        <v>0.29863800000000001</v>
      </c>
      <c r="T210" s="43">
        <v>220</v>
      </c>
      <c r="U210" s="43">
        <v>4</v>
      </c>
      <c r="V210" s="44">
        <v>4</v>
      </c>
      <c r="W210" s="49" t="str">
        <f t="shared" si="14"/>
        <v>NIE</v>
      </c>
    </row>
    <row r="211" spans="1:23" x14ac:dyDescent="0.3">
      <c r="A211" s="68"/>
      <c r="B211" s="24">
        <v>7</v>
      </c>
      <c r="C211" s="40">
        <v>0.10417899999999999</v>
      </c>
      <c r="D211" s="41">
        <v>0.76871</v>
      </c>
      <c r="E211" s="42">
        <v>3.9999999999999998E-6</v>
      </c>
      <c r="F211" s="43">
        <v>3.0000000000000001E-5</v>
      </c>
      <c r="G211" s="43">
        <v>0</v>
      </c>
      <c r="H211" s="43">
        <v>486</v>
      </c>
      <c r="I211" s="44">
        <v>12</v>
      </c>
      <c r="J211" s="49" t="str">
        <f t="shared" si="12"/>
        <v>TAK</v>
      </c>
      <c r="K211" s="42">
        <v>6.9999999999999999E-6</v>
      </c>
      <c r="L211" s="42">
        <v>3.9999999999999998E-6</v>
      </c>
      <c r="M211" s="42">
        <v>0</v>
      </c>
      <c r="N211" s="43">
        <v>169</v>
      </c>
      <c r="O211" s="44">
        <v>11</v>
      </c>
      <c r="P211" s="49" t="str">
        <f t="shared" si="13"/>
        <v>TAK</v>
      </c>
      <c r="Q211" s="40">
        <v>0</v>
      </c>
      <c r="R211" s="43">
        <v>0</v>
      </c>
      <c r="S211" s="43">
        <v>0</v>
      </c>
      <c r="T211" s="43">
        <v>166</v>
      </c>
      <c r="U211" s="43">
        <v>3</v>
      </c>
      <c r="V211" s="44">
        <v>3</v>
      </c>
      <c r="W211" s="49" t="str">
        <f t="shared" si="14"/>
        <v>TAK</v>
      </c>
    </row>
    <row r="212" spans="1:23" x14ac:dyDescent="0.3">
      <c r="A212" s="68"/>
      <c r="B212" s="24">
        <v>8</v>
      </c>
      <c r="C212" s="40">
        <v>1.7787170000000001</v>
      </c>
      <c r="D212" s="41">
        <v>0.95619100000000001</v>
      </c>
      <c r="E212" s="42">
        <v>-3.0000000000000001E-6</v>
      </c>
      <c r="F212" s="43">
        <v>-4.6E-5</v>
      </c>
      <c r="G212" s="43">
        <v>0</v>
      </c>
      <c r="H212" s="43">
        <v>493</v>
      </c>
      <c r="I212" s="44">
        <v>12</v>
      </c>
      <c r="J212" s="49" t="str">
        <f t="shared" si="12"/>
        <v>TAK</v>
      </c>
      <c r="K212" s="42">
        <v>-1.84E-4</v>
      </c>
      <c r="L212" s="42">
        <v>7.2300000000000001E-4</v>
      </c>
      <c r="M212" s="42">
        <v>0</v>
      </c>
      <c r="N212" s="43">
        <v>421</v>
      </c>
      <c r="O212" s="44">
        <v>32</v>
      </c>
      <c r="P212" s="49" t="str">
        <f t="shared" si="13"/>
        <v>TAK</v>
      </c>
      <c r="Q212" s="40">
        <v>1.747552</v>
      </c>
      <c r="R212" s="43">
        <v>-0.873776</v>
      </c>
      <c r="S212" s="43">
        <v>0.29863800000000001</v>
      </c>
      <c r="T212" s="43">
        <v>162</v>
      </c>
      <c r="U212" s="43">
        <v>3</v>
      </c>
      <c r="V212" s="44">
        <v>3</v>
      </c>
      <c r="W212" s="49" t="str">
        <f t="shared" si="14"/>
        <v>NIE</v>
      </c>
    </row>
    <row r="213" spans="1:23" x14ac:dyDescent="0.3">
      <c r="A213" s="68"/>
      <c r="B213" s="24">
        <v>9</v>
      </c>
      <c r="C213" s="40">
        <v>1.471922</v>
      </c>
      <c r="D213" s="41">
        <v>1.2190730000000001</v>
      </c>
      <c r="E213" s="42">
        <v>1.747547</v>
      </c>
      <c r="F213" s="43">
        <v>-0.87368100000000004</v>
      </c>
      <c r="G213" s="43">
        <v>0.29863800000000001</v>
      </c>
      <c r="H213" s="43">
        <v>443</v>
      </c>
      <c r="I213" s="44">
        <v>12</v>
      </c>
      <c r="J213" s="49" t="str">
        <f t="shared" si="12"/>
        <v>NIE</v>
      </c>
      <c r="K213" s="42">
        <v>1.747563</v>
      </c>
      <c r="L213" s="42">
        <v>-0.87405200000000005</v>
      </c>
      <c r="M213" s="42">
        <v>0.29863899999999999</v>
      </c>
      <c r="N213" s="43">
        <v>406</v>
      </c>
      <c r="O213" s="44">
        <v>34</v>
      </c>
      <c r="P213" s="49" t="str">
        <f t="shared" si="13"/>
        <v>NIE</v>
      </c>
      <c r="Q213" s="40">
        <v>0</v>
      </c>
      <c r="R213" s="43">
        <v>0</v>
      </c>
      <c r="S213" s="43">
        <v>0</v>
      </c>
      <c r="T213" s="43">
        <v>263</v>
      </c>
      <c r="U213" s="43">
        <v>5</v>
      </c>
      <c r="V213" s="44">
        <v>5</v>
      </c>
      <c r="W213" s="49" t="str">
        <f t="shared" si="14"/>
        <v>TAK</v>
      </c>
    </row>
    <row r="214" spans="1:23" x14ac:dyDescent="0.3">
      <c r="A214" s="68"/>
      <c r="B214" s="24">
        <v>10</v>
      </c>
      <c r="C214" s="40">
        <v>0.91691</v>
      </c>
      <c r="D214" s="41">
        <v>1.857972</v>
      </c>
      <c r="E214" s="42">
        <v>1.9999999999999999E-6</v>
      </c>
      <c r="F214" s="43">
        <v>3.1000000000000001E-5</v>
      </c>
      <c r="G214" s="43">
        <v>0</v>
      </c>
      <c r="H214" s="43">
        <v>481</v>
      </c>
      <c r="I214" s="44">
        <v>12</v>
      </c>
      <c r="J214" s="49" t="str">
        <f t="shared" si="12"/>
        <v>TAK</v>
      </c>
      <c r="K214" s="42">
        <v>-1.2E-5</v>
      </c>
      <c r="L214" s="42">
        <v>5.8E-5</v>
      </c>
      <c r="M214" s="42">
        <v>0</v>
      </c>
      <c r="N214" s="43">
        <v>243</v>
      </c>
      <c r="O214" s="44">
        <v>17</v>
      </c>
      <c r="P214" s="49" t="str">
        <f t="shared" si="13"/>
        <v>TAK</v>
      </c>
      <c r="Q214" s="40">
        <v>1.747552</v>
      </c>
      <c r="R214" s="43">
        <v>-0.873776</v>
      </c>
      <c r="S214" s="43">
        <v>0.29863800000000001</v>
      </c>
      <c r="T214" s="43">
        <v>268</v>
      </c>
      <c r="U214" s="43">
        <v>4</v>
      </c>
      <c r="V214" s="44">
        <v>4</v>
      </c>
      <c r="W214" s="49" t="str">
        <f t="shared" si="14"/>
        <v>NIE</v>
      </c>
    </row>
    <row r="215" spans="1:23" x14ac:dyDescent="0.3">
      <c r="A215" s="68"/>
      <c r="B215" s="24">
        <v>11</v>
      </c>
      <c r="C215" s="40">
        <v>1.9954700000000001</v>
      </c>
      <c r="D215" s="41">
        <v>1.5930439999999999</v>
      </c>
      <c r="E215" s="42">
        <v>-5.0000000000000004E-6</v>
      </c>
      <c r="F215" s="43">
        <v>1.0000000000000001E-5</v>
      </c>
      <c r="G215" s="43">
        <v>0</v>
      </c>
      <c r="H215" s="43">
        <v>286</v>
      </c>
      <c r="I215" s="44">
        <v>7</v>
      </c>
      <c r="J215" s="49" t="str">
        <f t="shared" si="12"/>
        <v>TAK</v>
      </c>
      <c r="K215" s="42">
        <v>7.6000000000000004E-5</v>
      </c>
      <c r="L215" s="42">
        <v>1.7200000000000001E-4</v>
      </c>
      <c r="M215" s="42">
        <v>0</v>
      </c>
      <c r="N215" s="43">
        <v>165</v>
      </c>
      <c r="O215" s="44">
        <v>11</v>
      </c>
      <c r="P215" s="49" t="str">
        <f t="shared" si="13"/>
        <v>TAK</v>
      </c>
      <c r="Q215" s="40">
        <v>1.747552</v>
      </c>
      <c r="R215" s="43">
        <v>-0.873776</v>
      </c>
      <c r="S215" s="43">
        <v>0.29863800000000001</v>
      </c>
      <c r="T215" s="43">
        <v>219</v>
      </c>
      <c r="U215" s="43">
        <v>4</v>
      </c>
      <c r="V215" s="44">
        <v>4</v>
      </c>
      <c r="W215" s="49" t="str">
        <f t="shared" si="14"/>
        <v>NIE</v>
      </c>
    </row>
    <row r="216" spans="1:23" x14ac:dyDescent="0.3">
      <c r="A216" s="68"/>
      <c r="B216" s="24">
        <v>12</v>
      </c>
      <c r="C216" s="40">
        <v>1.2272479999999999</v>
      </c>
      <c r="D216" s="41">
        <v>1.0290710000000001</v>
      </c>
      <c r="E216" s="42">
        <v>4.3000000000000002E-5</v>
      </c>
      <c r="F216" s="43">
        <v>-4.1E-5</v>
      </c>
      <c r="G216" s="43">
        <v>0</v>
      </c>
      <c r="H216" s="43">
        <v>550</v>
      </c>
      <c r="I216" s="44">
        <v>13</v>
      </c>
      <c r="J216" s="49" t="str">
        <f t="shared" si="12"/>
        <v>TAK</v>
      </c>
      <c r="K216" s="42">
        <v>-3.9599999999999998E-4</v>
      </c>
      <c r="L216" s="42">
        <v>3.77E-4</v>
      </c>
      <c r="M216" s="42">
        <v>0</v>
      </c>
      <c r="N216" s="43">
        <v>683</v>
      </c>
      <c r="O216" s="44">
        <v>62</v>
      </c>
      <c r="P216" s="49" t="str">
        <f t="shared" si="13"/>
        <v>TAK</v>
      </c>
      <c r="Q216" s="40">
        <v>0</v>
      </c>
      <c r="R216" s="43">
        <v>0</v>
      </c>
      <c r="S216" s="43">
        <v>0</v>
      </c>
      <c r="T216" s="43">
        <v>286</v>
      </c>
      <c r="U216" s="43">
        <v>4</v>
      </c>
      <c r="V216" s="44">
        <v>4</v>
      </c>
      <c r="W216" s="49" t="str">
        <f t="shared" si="14"/>
        <v>TAK</v>
      </c>
    </row>
    <row r="217" spans="1:23" x14ac:dyDescent="0.3">
      <c r="A217" s="68"/>
      <c r="B217" s="24">
        <v>13</v>
      </c>
      <c r="C217" s="40">
        <v>1.607648</v>
      </c>
      <c r="D217" s="41">
        <v>0.41767300000000002</v>
      </c>
      <c r="E217" s="42">
        <v>1.747552</v>
      </c>
      <c r="F217" s="43">
        <v>-0.87376500000000001</v>
      </c>
      <c r="G217" s="43">
        <v>0.29863800000000001</v>
      </c>
      <c r="H217" s="43">
        <v>364</v>
      </c>
      <c r="I217" s="44">
        <v>10</v>
      </c>
      <c r="J217" s="49" t="str">
        <f t="shared" si="12"/>
        <v>NIE</v>
      </c>
      <c r="K217" s="42">
        <v>1.7475210000000001</v>
      </c>
      <c r="L217" s="42">
        <v>-0.87356900000000004</v>
      </c>
      <c r="M217" s="42">
        <v>0.29863800000000001</v>
      </c>
      <c r="N217" s="43">
        <v>166</v>
      </c>
      <c r="O217" s="44">
        <v>14</v>
      </c>
      <c r="P217" s="49" t="str">
        <f t="shared" si="13"/>
        <v>NIE</v>
      </c>
      <c r="Q217" s="40">
        <v>1.747552</v>
      </c>
      <c r="R217" s="43">
        <v>-0.873776</v>
      </c>
      <c r="S217" s="43">
        <v>0.29863800000000001</v>
      </c>
      <c r="T217" s="43">
        <v>216</v>
      </c>
      <c r="U217" s="43">
        <v>4</v>
      </c>
      <c r="V217" s="44">
        <v>4</v>
      </c>
      <c r="W217" s="49" t="str">
        <f t="shared" si="14"/>
        <v>NIE</v>
      </c>
    </row>
    <row r="218" spans="1:23" x14ac:dyDescent="0.3">
      <c r="A218" s="68"/>
      <c r="B218" s="24">
        <v>14</v>
      </c>
      <c r="C218" s="40">
        <v>1.3194330000000001</v>
      </c>
      <c r="D218" s="41">
        <v>1.656388</v>
      </c>
      <c r="E218" s="42">
        <v>4.1999999999999998E-5</v>
      </c>
      <c r="F218" s="43">
        <v>-3.8999999999999999E-5</v>
      </c>
      <c r="G218" s="43">
        <v>0</v>
      </c>
      <c r="H218" s="43">
        <v>533</v>
      </c>
      <c r="I218" s="44">
        <v>13</v>
      </c>
      <c r="J218" s="49" t="str">
        <f t="shared" si="12"/>
        <v>TAK</v>
      </c>
      <c r="K218" s="42">
        <v>3.4699999999999998E-4</v>
      </c>
      <c r="L218" s="42">
        <v>-4.5199999999999998E-4</v>
      </c>
      <c r="M218" s="42">
        <v>0</v>
      </c>
      <c r="N218" s="43">
        <v>535</v>
      </c>
      <c r="O218" s="44">
        <v>44</v>
      </c>
      <c r="P218" s="49" t="str">
        <f t="shared" si="13"/>
        <v>TAK</v>
      </c>
      <c r="Q218" s="40">
        <v>0</v>
      </c>
      <c r="R218" s="43">
        <v>0</v>
      </c>
      <c r="S218" s="43">
        <v>0</v>
      </c>
      <c r="T218" s="43">
        <v>311</v>
      </c>
      <c r="U218" s="43">
        <v>5</v>
      </c>
      <c r="V218" s="44">
        <v>5</v>
      </c>
      <c r="W218" s="49" t="str">
        <f t="shared" si="14"/>
        <v>TAK</v>
      </c>
    </row>
    <row r="219" spans="1:23" x14ac:dyDescent="0.3">
      <c r="A219" s="68"/>
      <c r="B219" s="24">
        <v>15</v>
      </c>
      <c r="C219" s="40">
        <v>9.8929000000000003E-2</v>
      </c>
      <c r="D219" s="41">
        <v>0.33487</v>
      </c>
      <c r="E219" s="42">
        <v>-3.0000000000000001E-5</v>
      </c>
      <c r="F219" s="43">
        <v>4.8999999999999998E-5</v>
      </c>
      <c r="G219" s="43">
        <v>0</v>
      </c>
      <c r="H219" s="43">
        <v>366</v>
      </c>
      <c r="I219" s="44">
        <v>9</v>
      </c>
      <c r="J219" s="49" t="str">
        <f t="shared" si="12"/>
        <v>TAK</v>
      </c>
      <c r="K219" s="42">
        <v>-5.0000000000000004E-6</v>
      </c>
      <c r="L219" s="42">
        <v>1.0000000000000001E-5</v>
      </c>
      <c r="M219" s="42">
        <v>0</v>
      </c>
      <c r="N219" s="43">
        <v>117</v>
      </c>
      <c r="O219" s="44">
        <v>7</v>
      </c>
      <c r="P219" s="49" t="str">
        <f t="shared" si="13"/>
        <v>TAK</v>
      </c>
      <c r="Q219" s="40">
        <v>0</v>
      </c>
      <c r="R219" s="43">
        <v>0</v>
      </c>
      <c r="S219" s="43">
        <v>0</v>
      </c>
      <c r="T219" s="43">
        <v>164</v>
      </c>
      <c r="U219" s="43">
        <v>3</v>
      </c>
      <c r="V219" s="44">
        <v>3</v>
      </c>
      <c r="W219" s="49" t="str">
        <f t="shared" si="14"/>
        <v>TAK</v>
      </c>
    </row>
    <row r="220" spans="1:23" x14ac:dyDescent="0.3">
      <c r="A220" s="68"/>
      <c r="B220" s="24">
        <v>16</v>
      </c>
      <c r="C220" s="40">
        <v>0.100234</v>
      </c>
      <c r="D220" s="41">
        <v>0.31869599999999998</v>
      </c>
      <c r="E220" s="42">
        <v>-2.4000000000000001E-5</v>
      </c>
      <c r="F220" s="43">
        <v>3.8999999999999999E-5</v>
      </c>
      <c r="G220" s="43">
        <v>0</v>
      </c>
      <c r="H220" s="43">
        <v>368</v>
      </c>
      <c r="I220" s="44">
        <v>9</v>
      </c>
      <c r="J220" s="49" t="str">
        <f t="shared" si="12"/>
        <v>TAK</v>
      </c>
      <c r="K220" s="42">
        <v>-1.2E-5</v>
      </c>
      <c r="L220" s="42">
        <v>2.5000000000000001E-5</v>
      </c>
      <c r="M220" s="42">
        <v>0</v>
      </c>
      <c r="N220" s="43">
        <v>119</v>
      </c>
      <c r="O220" s="44">
        <v>8</v>
      </c>
      <c r="P220" s="49" t="str">
        <f t="shared" si="13"/>
        <v>TAK</v>
      </c>
      <c r="Q220" s="40">
        <v>0</v>
      </c>
      <c r="R220" s="43">
        <v>0</v>
      </c>
      <c r="S220" s="43">
        <v>0</v>
      </c>
      <c r="T220" s="43">
        <v>165</v>
      </c>
      <c r="U220" s="43">
        <v>3</v>
      </c>
      <c r="V220" s="44">
        <v>3</v>
      </c>
      <c r="W220" s="49" t="str">
        <f t="shared" si="14"/>
        <v>TAK</v>
      </c>
    </row>
    <row r="221" spans="1:23" x14ac:dyDescent="0.3">
      <c r="A221" s="68"/>
      <c r="B221" s="24">
        <v>17</v>
      </c>
      <c r="C221" s="40">
        <v>1.890682</v>
      </c>
      <c r="D221" s="41">
        <v>1.5671949999999999</v>
      </c>
      <c r="E221" s="42">
        <v>-6.0000000000000002E-6</v>
      </c>
      <c r="F221" s="43">
        <v>-2.0000000000000002E-5</v>
      </c>
      <c r="G221" s="43">
        <v>0</v>
      </c>
      <c r="H221" s="43">
        <v>419</v>
      </c>
      <c r="I221" s="44">
        <v>10</v>
      </c>
      <c r="J221" s="49" t="str">
        <f t="shared" si="12"/>
        <v>TAK</v>
      </c>
      <c r="K221" s="42">
        <v>1.5999999999999999E-5</v>
      </c>
      <c r="L221" s="42">
        <v>-4.0000000000000003E-5</v>
      </c>
      <c r="M221" s="42">
        <v>0</v>
      </c>
      <c r="N221" s="43">
        <v>240</v>
      </c>
      <c r="O221" s="44">
        <v>17</v>
      </c>
      <c r="P221" s="49" t="str">
        <f t="shared" si="13"/>
        <v>TAK</v>
      </c>
      <c r="Q221" s="40">
        <v>1.747552</v>
      </c>
      <c r="R221" s="43">
        <v>-0.873776</v>
      </c>
      <c r="S221" s="43">
        <v>0.29863800000000001</v>
      </c>
      <c r="T221" s="43">
        <v>192</v>
      </c>
      <c r="U221" s="43">
        <v>4</v>
      </c>
      <c r="V221" s="44">
        <v>4</v>
      </c>
      <c r="W221" s="49" t="str">
        <f t="shared" si="14"/>
        <v>NIE</v>
      </c>
    </row>
    <row r="222" spans="1:23" x14ac:dyDescent="0.3">
      <c r="A222" s="68"/>
      <c r="B222" s="24">
        <v>18</v>
      </c>
      <c r="C222" s="40">
        <v>0.78983899999999996</v>
      </c>
      <c r="D222" s="41">
        <v>1.752643</v>
      </c>
      <c r="E222" s="42">
        <v>3.9999999999999998E-6</v>
      </c>
      <c r="F222" s="43">
        <v>3.0000000000000001E-5</v>
      </c>
      <c r="G222" s="43">
        <v>0</v>
      </c>
      <c r="H222" s="43">
        <v>487</v>
      </c>
      <c r="I222" s="44">
        <v>12</v>
      </c>
      <c r="J222" s="49" t="str">
        <f t="shared" si="12"/>
        <v>TAK</v>
      </c>
      <c r="K222" s="42">
        <v>-2.0000000000000002E-5</v>
      </c>
      <c r="L222" s="42">
        <v>1.6699999999999999E-4</v>
      </c>
      <c r="M222" s="42">
        <v>0</v>
      </c>
      <c r="N222" s="43">
        <v>242</v>
      </c>
      <c r="O222" s="44">
        <v>17</v>
      </c>
      <c r="P222" s="49" t="str">
        <f t="shared" si="13"/>
        <v>TAK</v>
      </c>
      <c r="Q222" s="40">
        <v>1.747552</v>
      </c>
      <c r="R222" s="43">
        <v>-0.873776</v>
      </c>
      <c r="S222" s="43">
        <v>0.29863800000000001</v>
      </c>
      <c r="T222" s="43">
        <v>291</v>
      </c>
      <c r="U222" s="43">
        <v>5</v>
      </c>
      <c r="V222" s="44">
        <v>5</v>
      </c>
      <c r="W222" s="49" t="str">
        <f t="shared" si="14"/>
        <v>NIE</v>
      </c>
    </row>
    <row r="223" spans="1:23" x14ac:dyDescent="0.3">
      <c r="A223" s="68"/>
      <c r="B223" s="24">
        <v>19</v>
      </c>
      <c r="C223" s="40">
        <v>7.4131000000000002E-2</v>
      </c>
      <c r="D223" s="41">
        <v>0.47268700000000002</v>
      </c>
      <c r="E223" s="42">
        <v>-2.4000000000000001E-5</v>
      </c>
      <c r="F223" s="43">
        <v>3.6000000000000001E-5</v>
      </c>
      <c r="G223" s="43">
        <v>0</v>
      </c>
      <c r="H223" s="43">
        <v>427</v>
      </c>
      <c r="I223" s="44">
        <v>11</v>
      </c>
      <c r="J223" s="49" t="str">
        <f t="shared" si="12"/>
        <v>TAK</v>
      </c>
      <c r="K223" s="42">
        <v>6.4999999999999994E-5</v>
      </c>
      <c r="L223" s="42">
        <v>-1.2899999999999999E-4</v>
      </c>
      <c r="M223" s="42">
        <v>0</v>
      </c>
      <c r="N223" s="43">
        <v>122</v>
      </c>
      <c r="O223" s="44">
        <v>8</v>
      </c>
      <c r="P223" s="49" t="str">
        <f t="shared" si="13"/>
        <v>TAK</v>
      </c>
      <c r="Q223" s="40">
        <v>0</v>
      </c>
      <c r="R223" s="43">
        <v>0</v>
      </c>
      <c r="S223" s="43">
        <v>0</v>
      </c>
      <c r="T223" s="43">
        <v>165</v>
      </c>
      <c r="U223" s="43">
        <v>3</v>
      </c>
      <c r="V223" s="44">
        <v>3</v>
      </c>
      <c r="W223" s="49" t="str">
        <f t="shared" si="14"/>
        <v>TAK</v>
      </c>
    </row>
    <row r="224" spans="1:23" x14ac:dyDescent="0.3">
      <c r="A224" s="68"/>
      <c r="B224" s="24">
        <v>20</v>
      </c>
      <c r="C224" s="40">
        <v>2.2919999999999999E-2</v>
      </c>
      <c r="D224" s="41">
        <v>1.3465400000000001</v>
      </c>
      <c r="E224" s="42">
        <v>-3.4E-5</v>
      </c>
      <c r="F224" s="43">
        <v>4.1999999999999998E-5</v>
      </c>
      <c r="G224" s="43">
        <v>0</v>
      </c>
      <c r="H224" s="43">
        <v>529</v>
      </c>
      <c r="I224" s="44">
        <v>13</v>
      </c>
      <c r="J224" s="49" t="str">
        <f t="shared" si="12"/>
        <v>TAK</v>
      </c>
      <c r="K224" s="42">
        <v>6.9999999999999999E-6</v>
      </c>
      <c r="L224" s="42">
        <v>6.0000000000000002E-6</v>
      </c>
      <c r="M224" s="42">
        <v>0</v>
      </c>
      <c r="N224" s="43">
        <v>169</v>
      </c>
      <c r="O224" s="44">
        <v>11</v>
      </c>
      <c r="P224" s="49" t="str">
        <f t="shared" si="13"/>
        <v>TAK</v>
      </c>
      <c r="Q224" s="40">
        <v>0</v>
      </c>
      <c r="R224" s="43">
        <v>0</v>
      </c>
      <c r="S224" s="43">
        <v>0</v>
      </c>
      <c r="T224" s="43">
        <v>111</v>
      </c>
      <c r="U224" s="43">
        <v>2</v>
      </c>
      <c r="V224" s="44">
        <v>2</v>
      </c>
      <c r="W224" s="49" t="str">
        <f t="shared" si="14"/>
        <v>TAK</v>
      </c>
    </row>
    <row r="225" spans="1:23" x14ac:dyDescent="0.3">
      <c r="A225" s="68"/>
      <c r="B225" s="24">
        <v>21</v>
      </c>
      <c r="C225" s="40">
        <v>0.59467800000000004</v>
      </c>
      <c r="D225" s="41">
        <v>1.3693109999999999</v>
      </c>
      <c r="E225" s="42">
        <v>-1.8E-5</v>
      </c>
      <c r="F225" s="43">
        <v>2.9E-5</v>
      </c>
      <c r="G225" s="43">
        <v>0</v>
      </c>
      <c r="H225" s="43">
        <v>439</v>
      </c>
      <c r="I225" s="44">
        <v>11</v>
      </c>
      <c r="J225" s="49" t="str">
        <f t="shared" si="12"/>
        <v>TAK</v>
      </c>
      <c r="K225" s="42">
        <v>3.0000000000000001E-6</v>
      </c>
      <c r="L225" s="42">
        <v>6.7000000000000002E-5</v>
      </c>
      <c r="M225" s="42">
        <v>0</v>
      </c>
      <c r="N225" s="43">
        <v>245</v>
      </c>
      <c r="O225" s="44">
        <v>17</v>
      </c>
      <c r="P225" s="49" t="str">
        <f t="shared" si="13"/>
        <v>TAK</v>
      </c>
      <c r="Q225" s="40">
        <v>1.747552</v>
      </c>
      <c r="R225" s="43">
        <v>-0.873776</v>
      </c>
      <c r="S225" s="43">
        <v>0.29863800000000001</v>
      </c>
      <c r="T225" s="43">
        <v>202</v>
      </c>
      <c r="U225" s="43">
        <v>4</v>
      </c>
      <c r="V225" s="44">
        <v>4</v>
      </c>
      <c r="W225" s="49" t="str">
        <f t="shared" si="14"/>
        <v>NIE</v>
      </c>
    </row>
    <row r="226" spans="1:23" x14ac:dyDescent="0.3">
      <c r="A226" s="68"/>
      <c r="B226" s="24">
        <v>22</v>
      </c>
      <c r="C226" s="40">
        <v>0.539435</v>
      </c>
      <c r="D226" s="41">
        <v>1.5013190000000001</v>
      </c>
      <c r="E226" s="42">
        <v>-2.5000000000000001E-5</v>
      </c>
      <c r="F226" s="43">
        <v>3.8999999999999999E-5</v>
      </c>
      <c r="G226" s="43">
        <v>0</v>
      </c>
      <c r="H226" s="43">
        <v>436</v>
      </c>
      <c r="I226" s="44">
        <v>11</v>
      </c>
      <c r="J226" s="49" t="str">
        <f t="shared" si="12"/>
        <v>TAK</v>
      </c>
      <c r="K226" s="42">
        <v>7.9999999999999996E-6</v>
      </c>
      <c r="L226" s="42">
        <v>2.8E-5</v>
      </c>
      <c r="M226" s="42">
        <v>0</v>
      </c>
      <c r="N226" s="43">
        <v>247</v>
      </c>
      <c r="O226" s="44">
        <v>16</v>
      </c>
      <c r="P226" s="49" t="str">
        <f t="shared" si="13"/>
        <v>TAK</v>
      </c>
      <c r="Q226" s="40">
        <v>0</v>
      </c>
      <c r="R226" s="43">
        <v>0</v>
      </c>
      <c r="S226" s="43">
        <v>0</v>
      </c>
      <c r="T226" s="43">
        <v>253</v>
      </c>
      <c r="U226" s="43">
        <v>5</v>
      </c>
      <c r="V226" s="44">
        <v>5</v>
      </c>
      <c r="W226" s="49" t="str">
        <f t="shared" si="14"/>
        <v>TAK</v>
      </c>
    </row>
    <row r="227" spans="1:23" x14ac:dyDescent="0.3">
      <c r="A227" s="68"/>
      <c r="B227" s="24">
        <v>23</v>
      </c>
      <c r="C227" s="40">
        <v>1.0409360000000001</v>
      </c>
      <c r="D227" s="41">
        <v>0.52153700000000003</v>
      </c>
      <c r="E227" s="42">
        <v>3.1000000000000001E-5</v>
      </c>
      <c r="F227" s="43">
        <v>-4.0000000000000003E-5</v>
      </c>
      <c r="G227" s="43">
        <v>0</v>
      </c>
      <c r="H227" s="43">
        <v>533</v>
      </c>
      <c r="I227" s="44">
        <v>13</v>
      </c>
      <c r="J227" s="49" t="str">
        <f t="shared" si="12"/>
        <v>TAK</v>
      </c>
      <c r="K227" s="42">
        <v>1.9900000000000001E-4</v>
      </c>
      <c r="L227" s="42">
        <v>-5.7899999999999998E-4</v>
      </c>
      <c r="M227" s="42">
        <v>0</v>
      </c>
      <c r="N227" s="43">
        <v>562</v>
      </c>
      <c r="O227" s="44">
        <v>47</v>
      </c>
      <c r="P227" s="49" t="str">
        <f t="shared" si="13"/>
        <v>TAK</v>
      </c>
      <c r="Q227" s="40">
        <v>1.747552</v>
      </c>
      <c r="R227" s="43">
        <v>-0.873776</v>
      </c>
      <c r="S227" s="43">
        <v>0.29863800000000001</v>
      </c>
      <c r="T227" s="43">
        <v>325</v>
      </c>
      <c r="U227" s="43">
        <v>4</v>
      </c>
      <c r="V227" s="44">
        <v>4</v>
      </c>
      <c r="W227" s="49" t="str">
        <f t="shared" si="14"/>
        <v>NIE</v>
      </c>
    </row>
    <row r="228" spans="1:23" x14ac:dyDescent="0.3">
      <c r="A228" s="68"/>
      <c r="B228" s="24">
        <v>24</v>
      </c>
      <c r="C228" s="40">
        <v>0.460617</v>
      </c>
      <c r="D228" s="41">
        <v>1.5060690000000001</v>
      </c>
      <c r="E228" s="42">
        <v>-2.8E-5</v>
      </c>
      <c r="F228" s="43">
        <v>4.3000000000000002E-5</v>
      </c>
      <c r="G228" s="43">
        <v>0</v>
      </c>
      <c r="H228" s="43">
        <v>444</v>
      </c>
      <c r="I228" s="44">
        <v>11</v>
      </c>
      <c r="J228" s="49" t="str">
        <f t="shared" si="12"/>
        <v>TAK</v>
      </c>
      <c r="K228" s="42">
        <v>-9.0000000000000002E-6</v>
      </c>
      <c r="L228" s="42">
        <v>1.8E-5</v>
      </c>
      <c r="M228" s="42">
        <v>0</v>
      </c>
      <c r="N228" s="43">
        <v>201</v>
      </c>
      <c r="O228" s="44">
        <v>14</v>
      </c>
      <c r="P228" s="49" t="str">
        <f t="shared" si="13"/>
        <v>TAK</v>
      </c>
      <c r="Q228" s="40">
        <v>0</v>
      </c>
      <c r="R228" s="43">
        <v>0</v>
      </c>
      <c r="S228" s="43">
        <v>0</v>
      </c>
      <c r="T228" s="43">
        <v>260</v>
      </c>
      <c r="U228" s="43">
        <v>5</v>
      </c>
      <c r="V228" s="44">
        <v>5</v>
      </c>
      <c r="W228" s="49" t="str">
        <f t="shared" si="14"/>
        <v>TAK</v>
      </c>
    </row>
    <row r="229" spans="1:23" x14ac:dyDescent="0.3">
      <c r="A229" s="68"/>
      <c r="B229" s="24">
        <v>25</v>
      </c>
      <c r="C229" s="40">
        <v>1.556492</v>
      </c>
      <c r="D229" s="41">
        <v>1.9839070000000001</v>
      </c>
      <c r="E229" s="42">
        <v>4.0000000000000003E-5</v>
      </c>
      <c r="F229" s="43">
        <v>-3.6999999999999998E-5</v>
      </c>
      <c r="G229" s="43">
        <v>0</v>
      </c>
      <c r="H229" s="43">
        <v>540</v>
      </c>
      <c r="I229" s="44">
        <v>13</v>
      </c>
      <c r="J229" s="49" t="str">
        <f t="shared" si="12"/>
        <v>TAK</v>
      </c>
      <c r="K229" s="42">
        <v>-2.5999999999999998E-5</v>
      </c>
      <c r="L229" s="42">
        <v>-1.3630000000000001E-3</v>
      </c>
      <c r="M229" s="42">
        <v>1.9999999999999999E-6</v>
      </c>
      <c r="N229" s="43">
        <v>622</v>
      </c>
      <c r="O229" s="44">
        <v>56</v>
      </c>
      <c r="P229" s="49" t="str">
        <f t="shared" si="13"/>
        <v>TAK</v>
      </c>
      <c r="Q229" s="40">
        <v>1.747552</v>
      </c>
      <c r="R229" s="43">
        <v>-0.873776</v>
      </c>
      <c r="S229" s="43">
        <v>0.29863800000000001</v>
      </c>
      <c r="T229" s="43">
        <v>272</v>
      </c>
      <c r="U229" s="43">
        <v>5</v>
      </c>
      <c r="V229" s="44">
        <v>5</v>
      </c>
      <c r="W229" s="49" t="str">
        <f t="shared" si="14"/>
        <v>NIE</v>
      </c>
    </row>
    <row r="230" spans="1:23" x14ac:dyDescent="0.3">
      <c r="A230" s="68"/>
      <c r="B230" s="24">
        <v>26</v>
      </c>
      <c r="C230" s="40">
        <v>0.265461</v>
      </c>
      <c r="D230" s="41">
        <v>0.36721300000000001</v>
      </c>
      <c r="E230" s="42">
        <v>-1.2999999999999999E-5</v>
      </c>
      <c r="F230" s="43">
        <v>2.5999999999999998E-5</v>
      </c>
      <c r="G230" s="43">
        <v>0</v>
      </c>
      <c r="H230" s="43">
        <v>276</v>
      </c>
      <c r="I230" s="44">
        <v>7</v>
      </c>
      <c r="J230" s="49" t="str">
        <f t="shared" si="12"/>
        <v>TAK</v>
      </c>
      <c r="K230" s="42">
        <v>1.5999999999999999E-5</v>
      </c>
      <c r="L230" s="42">
        <v>1.4E-5</v>
      </c>
      <c r="M230" s="42">
        <v>0</v>
      </c>
      <c r="N230" s="43">
        <v>165</v>
      </c>
      <c r="O230" s="44">
        <v>11</v>
      </c>
      <c r="P230" s="49" t="str">
        <f t="shared" si="13"/>
        <v>TAK</v>
      </c>
      <c r="Q230" s="40">
        <v>0</v>
      </c>
      <c r="R230" s="43">
        <v>0</v>
      </c>
      <c r="S230" s="43">
        <v>0</v>
      </c>
      <c r="T230" s="43">
        <v>164</v>
      </c>
      <c r="U230" s="43">
        <v>3</v>
      </c>
      <c r="V230" s="44">
        <v>3</v>
      </c>
      <c r="W230" s="49" t="str">
        <f t="shared" si="14"/>
        <v>TAK</v>
      </c>
    </row>
    <row r="231" spans="1:23" x14ac:dyDescent="0.3">
      <c r="A231" s="68"/>
      <c r="B231" s="24">
        <v>27</v>
      </c>
      <c r="C231" s="40">
        <v>1.9684269999999999</v>
      </c>
      <c r="D231" s="41">
        <v>0.79323399999999999</v>
      </c>
      <c r="E231" s="42">
        <v>-6.0000000000000002E-6</v>
      </c>
      <c r="F231" s="43">
        <v>-5.0000000000000004E-6</v>
      </c>
      <c r="G231" s="43">
        <v>0</v>
      </c>
      <c r="H231" s="43">
        <v>249</v>
      </c>
      <c r="I231" s="44">
        <v>6</v>
      </c>
      <c r="J231" s="49" t="str">
        <f t="shared" si="12"/>
        <v>TAK</v>
      </c>
      <c r="K231" s="42">
        <v>1.5999999999999999E-5</v>
      </c>
      <c r="L231" s="42">
        <v>-1.0000000000000001E-5</v>
      </c>
      <c r="M231" s="42">
        <v>0</v>
      </c>
      <c r="N231" s="43">
        <v>202</v>
      </c>
      <c r="O231" s="44">
        <v>14</v>
      </c>
      <c r="P231" s="49" t="str">
        <f t="shared" si="13"/>
        <v>TAK</v>
      </c>
      <c r="Q231" s="40">
        <v>1.747552</v>
      </c>
      <c r="R231" s="43">
        <v>-0.873776</v>
      </c>
      <c r="S231" s="43">
        <v>0.29863800000000001</v>
      </c>
      <c r="T231" s="43">
        <v>221</v>
      </c>
      <c r="U231" s="43">
        <v>4</v>
      </c>
      <c r="V231" s="44">
        <v>4</v>
      </c>
      <c r="W231" s="49" t="str">
        <f t="shared" si="14"/>
        <v>NIE</v>
      </c>
    </row>
    <row r="232" spans="1:23" x14ac:dyDescent="0.3">
      <c r="A232" s="68"/>
      <c r="B232" s="24">
        <v>28</v>
      </c>
      <c r="C232" s="40">
        <v>1.5741620000000001</v>
      </c>
      <c r="D232" s="41">
        <v>1.6859470000000001</v>
      </c>
      <c r="E232" s="42">
        <v>3.4999999999999997E-5</v>
      </c>
      <c r="F232" s="43">
        <v>-3.1999999999999999E-5</v>
      </c>
      <c r="G232" s="43">
        <v>0</v>
      </c>
      <c r="H232" s="43">
        <v>548</v>
      </c>
      <c r="I232" s="44">
        <v>13</v>
      </c>
      <c r="J232" s="49" t="str">
        <f t="shared" si="12"/>
        <v>TAK</v>
      </c>
      <c r="K232" s="42">
        <v>-3.3500000000000001E-4</v>
      </c>
      <c r="L232" s="42">
        <v>1.6739999999999999E-3</v>
      </c>
      <c r="M232" s="42">
        <v>1.9999999999999999E-6</v>
      </c>
      <c r="N232" s="43">
        <v>2428</v>
      </c>
      <c r="O232" s="44">
        <v>242</v>
      </c>
      <c r="P232" s="49" t="str">
        <f t="shared" si="13"/>
        <v>TAK</v>
      </c>
      <c r="Q232" s="40">
        <v>1.747552</v>
      </c>
      <c r="R232" s="43">
        <v>-0.873776</v>
      </c>
      <c r="S232" s="43">
        <v>0.29863800000000001</v>
      </c>
      <c r="T232" s="43">
        <v>272</v>
      </c>
      <c r="U232" s="43">
        <v>5</v>
      </c>
      <c r="V232" s="44">
        <v>5</v>
      </c>
      <c r="W232" s="49" t="str">
        <f t="shared" si="14"/>
        <v>NIE</v>
      </c>
    </row>
    <row r="233" spans="1:23" x14ac:dyDescent="0.3">
      <c r="A233" s="68"/>
      <c r="B233" s="24">
        <v>29</v>
      </c>
      <c r="C233" s="40">
        <v>0.79700899999999997</v>
      </c>
      <c r="D233" s="41">
        <v>0.14708399999999999</v>
      </c>
      <c r="E233" s="42">
        <v>-3.9999999999999998E-6</v>
      </c>
      <c r="F233" s="43">
        <v>-6.0000000000000002E-6</v>
      </c>
      <c r="G233" s="43">
        <v>0</v>
      </c>
      <c r="H233" s="43">
        <v>329</v>
      </c>
      <c r="I233" s="44">
        <v>8</v>
      </c>
      <c r="J233" s="49" t="str">
        <f t="shared" si="12"/>
        <v>TAK</v>
      </c>
      <c r="K233" s="42">
        <v>-3.2000000000000003E-4</v>
      </c>
      <c r="L233" s="42">
        <v>-2.7900000000000001E-4</v>
      </c>
      <c r="M233" s="42">
        <v>0</v>
      </c>
      <c r="N233" s="43">
        <v>313</v>
      </c>
      <c r="O233" s="44">
        <v>23</v>
      </c>
      <c r="P233" s="49" t="str">
        <f t="shared" si="13"/>
        <v>TAK</v>
      </c>
      <c r="Q233" s="40">
        <v>1.747552</v>
      </c>
      <c r="R233" s="43">
        <v>-0.873776</v>
      </c>
      <c r="S233" s="43">
        <v>0.29863800000000001</v>
      </c>
      <c r="T233" s="43">
        <v>266</v>
      </c>
      <c r="U233" s="43">
        <v>5</v>
      </c>
      <c r="V233" s="44">
        <v>5</v>
      </c>
      <c r="W233" s="49" t="str">
        <f t="shared" si="14"/>
        <v>NIE</v>
      </c>
    </row>
    <row r="234" spans="1:23" x14ac:dyDescent="0.3">
      <c r="A234" s="68"/>
      <c r="B234" s="24">
        <v>30</v>
      </c>
      <c r="C234" s="40">
        <v>0.65003999999999995</v>
      </c>
      <c r="D234" s="41">
        <v>1.627475</v>
      </c>
      <c r="E234" s="42">
        <v>-3.3000000000000003E-5</v>
      </c>
      <c r="F234" s="43">
        <v>5.0000000000000002E-5</v>
      </c>
      <c r="G234" s="43">
        <v>0</v>
      </c>
      <c r="H234" s="43">
        <v>446</v>
      </c>
      <c r="I234" s="44">
        <v>11</v>
      </c>
      <c r="J234" s="49" t="str">
        <f t="shared" si="12"/>
        <v>TAK</v>
      </c>
      <c r="K234" s="42">
        <v>3.0000000000000001E-6</v>
      </c>
      <c r="L234" s="42">
        <v>1.13E-4</v>
      </c>
      <c r="M234" s="42">
        <v>0</v>
      </c>
      <c r="N234" s="43">
        <v>249</v>
      </c>
      <c r="O234" s="44">
        <v>17</v>
      </c>
      <c r="P234" s="49" t="str">
        <f t="shared" si="13"/>
        <v>TAK</v>
      </c>
      <c r="Q234" s="40">
        <v>1.747552</v>
      </c>
      <c r="R234" s="43">
        <v>-0.873776</v>
      </c>
      <c r="S234" s="43">
        <v>0.29863800000000001</v>
      </c>
      <c r="T234" s="43">
        <v>216</v>
      </c>
      <c r="U234" s="43">
        <v>4</v>
      </c>
      <c r="V234" s="44">
        <v>4</v>
      </c>
      <c r="W234" s="49" t="str">
        <f t="shared" si="14"/>
        <v>NIE</v>
      </c>
    </row>
    <row r="235" spans="1:23" x14ac:dyDescent="0.3">
      <c r="A235" s="68"/>
      <c r="B235" s="24">
        <v>31</v>
      </c>
      <c r="C235" s="40">
        <v>0.107684</v>
      </c>
      <c r="D235" s="41">
        <v>0.92008900000000005</v>
      </c>
      <c r="E235" s="42">
        <v>5.0000000000000004E-6</v>
      </c>
      <c r="F235" s="43">
        <v>4.1999999999999998E-5</v>
      </c>
      <c r="G235" s="43">
        <v>0</v>
      </c>
      <c r="H235" s="43">
        <v>484</v>
      </c>
      <c r="I235" s="44">
        <v>12</v>
      </c>
      <c r="J235" s="49" t="str">
        <f t="shared" si="12"/>
        <v>TAK</v>
      </c>
      <c r="K235" s="42">
        <v>1.8E-5</v>
      </c>
      <c r="L235" s="42">
        <v>1.2E-5</v>
      </c>
      <c r="M235" s="42">
        <v>0</v>
      </c>
      <c r="N235" s="43">
        <v>167</v>
      </c>
      <c r="O235" s="44">
        <v>11</v>
      </c>
      <c r="P235" s="49" t="str">
        <f t="shared" si="13"/>
        <v>TAK</v>
      </c>
      <c r="Q235" s="40">
        <v>0</v>
      </c>
      <c r="R235" s="43">
        <v>0</v>
      </c>
      <c r="S235" s="43">
        <v>0</v>
      </c>
      <c r="T235" s="43">
        <v>165</v>
      </c>
      <c r="U235" s="43">
        <v>3</v>
      </c>
      <c r="V235" s="44">
        <v>3</v>
      </c>
      <c r="W235" s="49" t="str">
        <f t="shared" si="14"/>
        <v>TAK</v>
      </c>
    </row>
    <row r="236" spans="1:23" x14ac:dyDescent="0.3">
      <c r="A236" s="68"/>
      <c r="B236" s="24">
        <v>32</v>
      </c>
      <c r="C236" s="40">
        <v>0.81300499999999998</v>
      </c>
      <c r="D236" s="41">
        <v>0.40657700000000002</v>
      </c>
      <c r="E236" s="42">
        <v>1.7E-5</v>
      </c>
      <c r="F236" s="43">
        <v>-2.9E-5</v>
      </c>
      <c r="G236" s="43">
        <v>0</v>
      </c>
      <c r="H236" s="43">
        <v>354</v>
      </c>
      <c r="I236" s="44">
        <v>9</v>
      </c>
      <c r="J236" s="49" t="str">
        <f t="shared" si="12"/>
        <v>TAK</v>
      </c>
      <c r="K236" s="42">
        <v>6.0000000000000002E-6</v>
      </c>
      <c r="L236" s="42">
        <v>-3.2699999999999998E-4</v>
      </c>
      <c r="M236" s="42">
        <v>0</v>
      </c>
      <c r="N236" s="43">
        <v>278</v>
      </c>
      <c r="O236" s="44">
        <v>20</v>
      </c>
      <c r="P236" s="49" t="str">
        <f t="shared" si="13"/>
        <v>TAK</v>
      </c>
      <c r="Q236" s="40">
        <v>1.747552</v>
      </c>
      <c r="R236" s="43">
        <v>-0.873776</v>
      </c>
      <c r="S236" s="43">
        <v>0.29863800000000001</v>
      </c>
      <c r="T236" s="43">
        <v>340</v>
      </c>
      <c r="U236" s="43">
        <v>6</v>
      </c>
      <c r="V236" s="44">
        <v>6</v>
      </c>
      <c r="W236" s="49" t="str">
        <f t="shared" si="14"/>
        <v>NIE</v>
      </c>
    </row>
    <row r="237" spans="1:23" x14ac:dyDescent="0.3">
      <c r="A237" s="68"/>
      <c r="B237" s="24">
        <v>33</v>
      </c>
      <c r="C237" s="40">
        <v>0.79394200000000004</v>
      </c>
      <c r="D237" s="41">
        <v>0.19042200000000001</v>
      </c>
      <c r="E237" s="42">
        <v>-6.0000000000000002E-6</v>
      </c>
      <c r="F237" s="43">
        <v>-9.0000000000000002E-6</v>
      </c>
      <c r="G237" s="43">
        <v>0</v>
      </c>
      <c r="H237" s="43">
        <v>332</v>
      </c>
      <c r="I237" s="44">
        <v>8</v>
      </c>
      <c r="J237" s="49" t="str">
        <f t="shared" si="12"/>
        <v>TAK</v>
      </c>
      <c r="K237" s="42">
        <v>-2.0900000000000001E-4</v>
      </c>
      <c r="L237" s="42">
        <v>-9.3999999999999994E-5</v>
      </c>
      <c r="M237" s="42">
        <v>0</v>
      </c>
      <c r="N237" s="43">
        <v>321</v>
      </c>
      <c r="O237" s="44">
        <v>23</v>
      </c>
      <c r="P237" s="49" t="str">
        <f t="shared" si="13"/>
        <v>TAK</v>
      </c>
      <c r="Q237" s="40">
        <v>1.747552</v>
      </c>
      <c r="R237" s="43">
        <v>-0.873776</v>
      </c>
      <c r="S237" s="43">
        <v>0.29863800000000001</v>
      </c>
      <c r="T237" s="43">
        <v>252</v>
      </c>
      <c r="U237" s="43">
        <v>5</v>
      </c>
      <c r="V237" s="44">
        <v>5</v>
      </c>
      <c r="W237" s="49" t="str">
        <f t="shared" si="14"/>
        <v>NIE</v>
      </c>
    </row>
    <row r="238" spans="1:23" x14ac:dyDescent="0.3">
      <c r="A238" s="68"/>
      <c r="B238" s="24">
        <v>34</v>
      </c>
      <c r="C238" s="40">
        <v>1.2859879999999999</v>
      </c>
      <c r="D238" s="41">
        <v>8.5901000000000005E-2</v>
      </c>
      <c r="E238" s="42">
        <v>1.747552</v>
      </c>
      <c r="F238" s="43">
        <v>-0.87377400000000005</v>
      </c>
      <c r="G238" s="43">
        <v>0.29863800000000001</v>
      </c>
      <c r="H238" s="43">
        <v>233</v>
      </c>
      <c r="I238" s="44">
        <v>6</v>
      </c>
      <c r="J238" s="49" t="str">
        <f t="shared" si="12"/>
        <v>NIE</v>
      </c>
      <c r="K238" s="42">
        <v>1.74753</v>
      </c>
      <c r="L238" s="42">
        <v>-0.87328899999999998</v>
      </c>
      <c r="M238" s="42">
        <v>0.29863899999999999</v>
      </c>
      <c r="N238" s="43">
        <v>418</v>
      </c>
      <c r="O238" s="44">
        <v>38</v>
      </c>
      <c r="P238" s="49" t="str">
        <f t="shared" si="13"/>
        <v>NIE</v>
      </c>
      <c r="Q238" s="40">
        <v>0</v>
      </c>
      <c r="R238" s="43">
        <v>0</v>
      </c>
      <c r="S238" s="43">
        <v>0</v>
      </c>
      <c r="T238" s="43">
        <v>365</v>
      </c>
      <c r="U238" s="43">
        <v>6</v>
      </c>
      <c r="V238" s="44">
        <v>6</v>
      </c>
      <c r="W238" s="49" t="str">
        <f t="shared" si="14"/>
        <v>TAK</v>
      </c>
    </row>
    <row r="239" spans="1:23" x14ac:dyDescent="0.3">
      <c r="A239" s="68"/>
      <c r="B239" s="24">
        <v>35</v>
      </c>
      <c r="C239" s="40">
        <v>0.13766500000000001</v>
      </c>
      <c r="D239" s="41">
        <v>0.86809099999999995</v>
      </c>
      <c r="E239" s="42">
        <v>3.9999999999999998E-6</v>
      </c>
      <c r="F239" s="43">
        <v>2.6999999999999999E-5</v>
      </c>
      <c r="G239" s="43">
        <v>0</v>
      </c>
      <c r="H239" s="43">
        <v>470</v>
      </c>
      <c r="I239" s="44">
        <v>12</v>
      </c>
      <c r="J239" s="49" t="str">
        <f t="shared" si="12"/>
        <v>TAK</v>
      </c>
      <c r="K239" s="42">
        <v>1.2E-5</v>
      </c>
      <c r="L239" s="42">
        <v>7.9999999999999996E-6</v>
      </c>
      <c r="M239" s="42">
        <v>0</v>
      </c>
      <c r="N239" s="43">
        <v>169</v>
      </c>
      <c r="O239" s="44">
        <v>11</v>
      </c>
      <c r="P239" s="49" t="str">
        <f t="shared" si="13"/>
        <v>TAK</v>
      </c>
      <c r="Q239" s="40">
        <v>0</v>
      </c>
      <c r="R239" s="43">
        <v>0</v>
      </c>
      <c r="S239" s="43">
        <v>0</v>
      </c>
      <c r="T239" s="43">
        <v>164</v>
      </c>
      <c r="U239" s="43">
        <v>3</v>
      </c>
      <c r="V239" s="44">
        <v>3</v>
      </c>
      <c r="W239" s="49" t="str">
        <f t="shared" si="14"/>
        <v>TAK</v>
      </c>
    </row>
    <row r="240" spans="1:23" x14ac:dyDescent="0.3">
      <c r="A240" s="68"/>
      <c r="B240" s="24">
        <v>36</v>
      </c>
      <c r="C240" s="40">
        <v>0.358074</v>
      </c>
      <c r="D240" s="41">
        <v>0.82783399999999996</v>
      </c>
      <c r="E240" s="42">
        <v>6.0000000000000002E-6</v>
      </c>
      <c r="F240" s="43">
        <v>1.5999999999999999E-5</v>
      </c>
      <c r="G240" s="43">
        <v>0</v>
      </c>
      <c r="H240" s="43">
        <v>405</v>
      </c>
      <c r="I240" s="44">
        <v>10</v>
      </c>
      <c r="J240" s="49" t="str">
        <f t="shared" si="12"/>
        <v>TAK</v>
      </c>
      <c r="K240" s="42">
        <v>-5.0000000000000004E-6</v>
      </c>
      <c r="L240" s="42">
        <v>1.0000000000000001E-5</v>
      </c>
      <c r="M240" s="42">
        <v>0</v>
      </c>
      <c r="N240" s="43">
        <v>201</v>
      </c>
      <c r="O240" s="44">
        <v>14</v>
      </c>
      <c r="P240" s="49" t="str">
        <f t="shared" si="13"/>
        <v>TAK</v>
      </c>
      <c r="Q240" s="40">
        <v>0</v>
      </c>
      <c r="R240" s="43">
        <v>0</v>
      </c>
      <c r="S240" s="43">
        <v>0</v>
      </c>
      <c r="T240" s="43">
        <v>220</v>
      </c>
      <c r="U240" s="43">
        <v>4</v>
      </c>
      <c r="V240" s="44">
        <v>4</v>
      </c>
      <c r="W240" s="49" t="str">
        <f t="shared" si="14"/>
        <v>TAK</v>
      </c>
    </row>
    <row r="241" spans="1:23" x14ac:dyDescent="0.3">
      <c r="A241" s="68"/>
      <c r="B241" s="24">
        <v>37</v>
      </c>
      <c r="C241" s="40">
        <v>1.1817519999999999</v>
      </c>
      <c r="D241" s="41">
        <v>1.7030559999999999</v>
      </c>
      <c r="E241" s="42">
        <v>3.8000000000000002E-5</v>
      </c>
      <c r="F241" s="43">
        <v>-4.1E-5</v>
      </c>
      <c r="G241" s="43">
        <v>0</v>
      </c>
      <c r="H241" s="43">
        <v>523</v>
      </c>
      <c r="I241" s="44">
        <v>13</v>
      </c>
      <c r="J241" s="49" t="str">
        <f t="shared" si="12"/>
        <v>TAK</v>
      </c>
      <c r="K241" s="42">
        <v>-1.8000000000000001E-4</v>
      </c>
      <c r="L241" s="42">
        <v>1.12E-4</v>
      </c>
      <c r="M241" s="42">
        <v>0</v>
      </c>
      <c r="N241" s="43">
        <v>357</v>
      </c>
      <c r="O241" s="44">
        <v>26</v>
      </c>
      <c r="P241" s="49" t="str">
        <f t="shared" si="13"/>
        <v>TAK</v>
      </c>
      <c r="Q241" s="40">
        <v>0</v>
      </c>
      <c r="R241" s="43">
        <v>0</v>
      </c>
      <c r="S241" s="43">
        <v>0</v>
      </c>
      <c r="T241" s="43">
        <v>307</v>
      </c>
      <c r="U241" s="43">
        <v>4</v>
      </c>
      <c r="V241" s="44">
        <v>4</v>
      </c>
      <c r="W241" s="49" t="str">
        <f t="shared" si="14"/>
        <v>TAK</v>
      </c>
    </row>
    <row r="242" spans="1:23" x14ac:dyDescent="0.3">
      <c r="A242" s="68"/>
      <c r="B242" s="24">
        <v>38</v>
      </c>
      <c r="C242" s="40">
        <v>1.1299349999999999</v>
      </c>
      <c r="D242" s="41">
        <v>1.481268</v>
      </c>
      <c r="E242" s="42">
        <v>3.4999999999999997E-5</v>
      </c>
      <c r="F242" s="43">
        <v>-3.8999999999999999E-5</v>
      </c>
      <c r="G242" s="43">
        <v>0</v>
      </c>
      <c r="H242" s="43">
        <v>520</v>
      </c>
      <c r="I242" s="44">
        <v>13</v>
      </c>
      <c r="J242" s="49" t="str">
        <f t="shared" si="12"/>
        <v>TAK</v>
      </c>
      <c r="K242" s="42">
        <v>-2.5500000000000002E-4</v>
      </c>
      <c r="L242" s="42">
        <v>-7.18E-4</v>
      </c>
      <c r="M242" s="42">
        <v>9.9999999999999995E-7</v>
      </c>
      <c r="N242" s="43">
        <v>319</v>
      </c>
      <c r="O242" s="44">
        <v>23</v>
      </c>
      <c r="P242" s="49" t="str">
        <f t="shared" si="13"/>
        <v>TAK</v>
      </c>
      <c r="Q242" s="40">
        <v>1.747552</v>
      </c>
      <c r="R242" s="43">
        <v>-0.873776</v>
      </c>
      <c r="S242" s="43">
        <v>0.29863800000000001</v>
      </c>
      <c r="T242" s="43">
        <v>329</v>
      </c>
      <c r="U242" s="43">
        <v>4</v>
      </c>
      <c r="V242" s="44">
        <v>4</v>
      </c>
      <c r="W242" s="49" t="str">
        <f t="shared" si="14"/>
        <v>NIE</v>
      </c>
    </row>
    <row r="243" spans="1:23" x14ac:dyDescent="0.3">
      <c r="A243" s="68"/>
      <c r="B243" s="24">
        <v>39</v>
      </c>
      <c r="C243" s="40">
        <v>0.357576</v>
      </c>
      <c r="D243" s="41">
        <v>0.73353699999999999</v>
      </c>
      <c r="E243" s="42">
        <v>-1.9000000000000001E-5</v>
      </c>
      <c r="F243" s="43">
        <v>3.3000000000000003E-5</v>
      </c>
      <c r="G243" s="43">
        <v>0</v>
      </c>
      <c r="H243" s="43">
        <v>349</v>
      </c>
      <c r="I243" s="44">
        <v>9</v>
      </c>
      <c r="J243" s="49" t="str">
        <f t="shared" si="12"/>
        <v>TAK</v>
      </c>
      <c r="K243" s="42">
        <v>9.1000000000000003E-5</v>
      </c>
      <c r="L243" s="42">
        <v>9.6000000000000002E-5</v>
      </c>
      <c r="M243" s="42">
        <v>0</v>
      </c>
      <c r="N243" s="43">
        <v>167</v>
      </c>
      <c r="O243" s="44">
        <v>11</v>
      </c>
      <c r="P243" s="49" t="str">
        <f t="shared" si="13"/>
        <v>TAK</v>
      </c>
      <c r="Q243" s="40">
        <v>0</v>
      </c>
      <c r="R243" s="43">
        <v>0</v>
      </c>
      <c r="S243" s="43">
        <v>0</v>
      </c>
      <c r="T243" s="43">
        <v>218</v>
      </c>
      <c r="U243" s="43">
        <v>4</v>
      </c>
      <c r="V243" s="44">
        <v>4</v>
      </c>
      <c r="W243" s="49" t="str">
        <f t="shared" si="14"/>
        <v>TAK</v>
      </c>
    </row>
    <row r="244" spans="1:23" x14ac:dyDescent="0.3">
      <c r="A244" s="68"/>
      <c r="B244" s="24">
        <v>40</v>
      </c>
      <c r="C244" s="40">
        <v>1.131281</v>
      </c>
      <c r="D244" s="41">
        <v>0.10254000000000001</v>
      </c>
      <c r="E244" s="42">
        <v>3.8999999999999999E-5</v>
      </c>
      <c r="F244" s="43">
        <v>-3.6999999999999998E-5</v>
      </c>
      <c r="G244" s="43">
        <v>0</v>
      </c>
      <c r="H244" s="43">
        <v>561</v>
      </c>
      <c r="I244" s="44">
        <v>13</v>
      </c>
      <c r="J244" s="49" t="str">
        <f t="shared" si="12"/>
        <v>TAK</v>
      </c>
      <c r="K244" s="42">
        <v>7.6300000000000001E-4</v>
      </c>
      <c r="L244" s="42">
        <v>-9.0899999999999998E-4</v>
      </c>
      <c r="M244" s="42">
        <v>9.9999999999999995E-7</v>
      </c>
      <c r="N244" s="43">
        <v>2459</v>
      </c>
      <c r="O244" s="44">
        <v>248</v>
      </c>
      <c r="P244" s="49" t="str">
        <f t="shared" si="13"/>
        <v>TAK</v>
      </c>
      <c r="Q244" s="40">
        <v>1.747552</v>
      </c>
      <c r="R244" s="43">
        <v>-0.873776</v>
      </c>
      <c r="S244" s="43">
        <v>0.29863800000000001</v>
      </c>
      <c r="T244" s="43">
        <v>328</v>
      </c>
      <c r="U244" s="43">
        <v>4</v>
      </c>
      <c r="V244" s="44">
        <v>4</v>
      </c>
      <c r="W244" s="49" t="str">
        <f t="shared" si="14"/>
        <v>NIE</v>
      </c>
    </row>
    <row r="245" spans="1:23" x14ac:dyDescent="0.3">
      <c r="A245" s="68"/>
      <c r="B245" s="24">
        <v>41</v>
      </c>
      <c r="C245" s="40">
        <v>0.73263199999999995</v>
      </c>
      <c r="D245" s="41">
        <v>0.43535600000000002</v>
      </c>
      <c r="E245" s="42">
        <v>-7.9999999999999996E-6</v>
      </c>
      <c r="F245" s="43">
        <v>-1.5E-5</v>
      </c>
      <c r="G245" s="43">
        <v>0</v>
      </c>
      <c r="H245" s="43">
        <v>328</v>
      </c>
      <c r="I245" s="44">
        <v>8</v>
      </c>
      <c r="J245" s="49" t="str">
        <f t="shared" si="12"/>
        <v>TAK</v>
      </c>
      <c r="K245" s="42">
        <v>1.5999999999999999E-5</v>
      </c>
      <c r="L245" s="42">
        <v>-4.1E-5</v>
      </c>
      <c r="M245" s="42">
        <v>0</v>
      </c>
      <c r="N245" s="43">
        <v>243</v>
      </c>
      <c r="O245" s="44">
        <v>16</v>
      </c>
      <c r="P245" s="49" t="str">
        <f t="shared" si="13"/>
        <v>TAK</v>
      </c>
      <c r="Q245" s="40">
        <v>1.747552</v>
      </c>
      <c r="R245" s="43">
        <v>-0.873776</v>
      </c>
      <c r="S245" s="43">
        <v>0.29863800000000001</v>
      </c>
      <c r="T245" s="43">
        <v>274</v>
      </c>
      <c r="U245" s="43">
        <v>5</v>
      </c>
      <c r="V245" s="44">
        <v>5</v>
      </c>
      <c r="W245" s="49" t="str">
        <f t="shared" si="14"/>
        <v>NIE</v>
      </c>
    </row>
    <row r="246" spans="1:23" x14ac:dyDescent="0.3">
      <c r="A246" s="68"/>
      <c r="B246" s="24">
        <v>42</v>
      </c>
      <c r="C246" s="40">
        <v>1.483473</v>
      </c>
      <c r="D246" s="41">
        <v>0.24732899999999999</v>
      </c>
      <c r="E246" s="42">
        <v>1.7475540000000001</v>
      </c>
      <c r="F246" s="43">
        <v>-0.87378900000000004</v>
      </c>
      <c r="G246" s="43">
        <v>0.29863800000000001</v>
      </c>
      <c r="H246" s="43">
        <v>222</v>
      </c>
      <c r="I246" s="44">
        <v>6</v>
      </c>
      <c r="J246" s="49" t="str">
        <f t="shared" si="12"/>
        <v>NIE</v>
      </c>
      <c r="K246" s="42">
        <v>1.7474179999999999</v>
      </c>
      <c r="L246" s="42">
        <v>-0.87371399999999999</v>
      </c>
      <c r="M246" s="42">
        <v>0.29863899999999999</v>
      </c>
      <c r="N246" s="43">
        <v>216</v>
      </c>
      <c r="O246" s="44">
        <v>17</v>
      </c>
      <c r="P246" s="49" t="str">
        <f t="shared" si="13"/>
        <v>NIE</v>
      </c>
      <c r="Q246" s="40">
        <v>-1.747552</v>
      </c>
      <c r="R246" s="43">
        <v>0.873776</v>
      </c>
      <c r="S246" s="43">
        <v>0.29863800000000001</v>
      </c>
      <c r="T246" s="43">
        <v>139</v>
      </c>
      <c r="U246" s="43">
        <v>3</v>
      </c>
      <c r="V246" s="44">
        <v>3</v>
      </c>
      <c r="W246" s="49" t="str">
        <f t="shared" si="14"/>
        <v>NIE</v>
      </c>
    </row>
    <row r="247" spans="1:23" x14ac:dyDescent="0.3">
      <c r="A247" s="68"/>
      <c r="B247" s="24">
        <v>43</v>
      </c>
      <c r="C247" s="40">
        <v>0.89769699999999997</v>
      </c>
      <c r="D247" s="41">
        <v>1.3784860000000001</v>
      </c>
      <c r="E247" s="42">
        <v>-3.4E-5</v>
      </c>
      <c r="F247" s="43">
        <v>4.8000000000000001E-5</v>
      </c>
      <c r="G247" s="43">
        <v>0</v>
      </c>
      <c r="H247" s="43">
        <v>368</v>
      </c>
      <c r="I247" s="44">
        <v>9</v>
      </c>
      <c r="J247" s="49" t="str">
        <f t="shared" si="12"/>
        <v>TAK</v>
      </c>
      <c r="K247" s="42">
        <v>-2.1999999999999999E-5</v>
      </c>
      <c r="L247" s="42">
        <v>1.25E-4</v>
      </c>
      <c r="M247" s="42">
        <v>0</v>
      </c>
      <c r="N247" s="43">
        <v>164</v>
      </c>
      <c r="O247" s="44">
        <v>11</v>
      </c>
      <c r="P247" s="49" t="str">
        <f t="shared" si="13"/>
        <v>TAK</v>
      </c>
      <c r="Q247" s="40">
        <v>1.747552</v>
      </c>
      <c r="R247" s="43">
        <v>-0.873776</v>
      </c>
      <c r="S247" s="43">
        <v>0.29863800000000001</v>
      </c>
      <c r="T247" s="43">
        <v>288</v>
      </c>
      <c r="U247" s="43">
        <v>5</v>
      </c>
      <c r="V247" s="44">
        <v>5</v>
      </c>
      <c r="W247" s="49" t="str">
        <f t="shared" si="14"/>
        <v>NIE</v>
      </c>
    </row>
    <row r="248" spans="1:23" x14ac:dyDescent="0.3">
      <c r="A248" s="68"/>
      <c r="B248" s="24">
        <v>44</v>
      </c>
      <c r="C248" s="40">
        <v>1.5230360000000001</v>
      </c>
      <c r="D248" s="41">
        <v>1.619143</v>
      </c>
      <c r="E248" s="42">
        <v>3.1999999999999999E-5</v>
      </c>
      <c r="F248" s="43">
        <v>-2.8E-5</v>
      </c>
      <c r="G248" s="43">
        <v>0</v>
      </c>
      <c r="H248" s="43">
        <v>567</v>
      </c>
      <c r="I248" s="44">
        <v>13</v>
      </c>
      <c r="J248" s="49" t="str">
        <f t="shared" si="12"/>
        <v>TAK</v>
      </c>
      <c r="K248" s="42">
        <v>-8.1999999999999998E-4</v>
      </c>
      <c r="L248" s="42">
        <v>1.596E-3</v>
      </c>
      <c r="M248" s="42">
        <v>3.0000000000000001E-6</v>
      </c>
      <c r="N248" s="43">
        <v>10421</v>
      </c>
      <c r="O248" s="44">
        <v>1034</v>
      </c>
      <c r="P248" s="49" t="str">
        <f t="shared" si="13"/>
        <v>TAK</v>
      </c>
      <c r="Q248" s="40">
        <v>1.747552</v>
      </c>
      <c r="R248" s="43">
        <v>-0.873776</v>
      </c>
      <c r="S248" s="43">
        <v>0.29863800000000001</v>
      </c>
      <c r="T248" s="43">
        <v>263</v>
      </c>
      <c r="U248" s="43">
        <v>5</v>
      </c>
      <c r="V248" s="44">
        <v>5</v>
      </c>
      <c r="W248" s="49" t="str">
        <f t="shared" si="14"/>
        <v>NIE</v>
      </c>
    </row>
    <row r="249" spans="1:23" x14ac:dyDescent="0.3">
      <c r="A249" s="68"/>
      <c r="B249" s="24">
        <v>45</v>
      </c>
      <c r="C249" s="40">
        <v>1.609869</v>
      </c>
      <c r="D249" s="41">
        <v>1.8075589999999999</v>
      </c>
      <c r="E249" s="42">
        <v>3.8999999999999999E-5</v>
      </c>
      <c r="F249" s="43">
        <v>-3.6999999999999998E-5</v>
      </c>
      <c r="G249" s="43">
        <v>0</v>
      </c>
      <c r="H249" s="43">
        <v>553</v>
      </c>
      <c r="I249" s="44">
        <v>13</v>
      </c>
      <c r="J249" s="49" t="str">
        <f t="shared" si="12"/>
        <v>TAK</v>
      </c>
      <c r="K249" s="42">
        <v>-3.0699999999999998E-4</v>
      </c>
      <c r="L249" s="42">
        <v>1.0319999999999999E-3</v>
      </c>
      <c r="M249" s="42">
        <v>9.9999999999999995E-7</v>
      </c>
      <c r="N249" s="43">
        <v>755</v>
      </c>
      <c r="O249" s="44">
        <v>74</v>
      </c>
      <c r="P249" s="49" t="str">
        <f t="shared" si="13"/>
        <v>TAK</v>
      </c>
      <c r="Q249" s="40">
        <v>1.747552</v>
      </c>
      <c r="R249" s="43">
        <v>-0.873776</v>
      </c>
      <c r="S249" s="43">
        <v>0.29863800000000001</v>
      </c>
      <c r="T249" s="43">
        <v>220</v>
      </c>
      <c r="U249" s="43">
        <v>4</v>
      </c>
      <c r="V249" s="44">
        <v>4</v>
      </c>
      <c r="W249" s="49" t="str">
        <f t="shared" si="14"/>
        <v>NIE</v>
      </c>
    </row>
    <row r="250" spans="1:23" x14ac:dyDescent="0.3">
      <c r="A250" s="68"/>
      <c r="B250" s="24">
        <v>46</v>
      </c>
      <c r="C250" s="40">
        <v>1.5038819999999999</v>
      </c>
      <c r="D250" s="41">
        <v>0.89589600000000003</v>
      </c>
      <c r="E250" s="42">
        <v>1.747547</v>
      </c>
      <c r="F250" s="43">
        <v>-0.87369799999999997</v>
      </c>
      <c r="G250" s="43">
        <v>0.29863800000000001</v>
      </c>
      <c r="H250" s="43">
        <v>371</v>
      </c>
      <c r="I250" s="44">
        <v>10</v>
      </c>
      <c r="J250" s="49" t="str">
        <f t="shared" si="12"/>
        <v>NIE</v>
      </c>
      <c r="K250" s="42">
        <v>1.7475290000000001</v>
      </c>
      <c r="L250" s="42">
        <v>-0.873668</v>
      </c>
      <c r="M250" s="42">
        <v>0.29863800000000001</v>
      </c>
      <c r="N250" s="43">
        <v>245</v>
      </c>
      <c r="O250" s="44">
        <v>20</v>
      </c>
      <c r="P250" s="49" t="str">
        <f t="shared" si="13"/>
        <v>NIE</v>
      </c>
      <c r="Q250" s="40">
        <v>1.747552</v>
      </c>
      <c r="R250" s="43">
        <v>-0.873776</v>
      </c>
      <c r="S250" s="43">
        <v>0.29863800000000001</v>
      </c>
      <c r="T250" s="43">
        <v>223</v>
      </c>
      <c r="U250" s="43">
        <v>5</v>
      </c>
      <c r="V250" s="44">
        <v>5</v>
      </c>
      <c r="W250" s="49" t="str">
        <f t="shared" si="14"/>
        <v>NIE</v>
      </c>
    </row>
    <row r="251" spans="1:23" x14ac:dyDescent="0.3">
      <c r="A251" s="68"/>
      <c r="B251" s="24">
        <v>47</v>
      </c>
      <c r="C251" s="40">
        <v>0.26808100000000001</v>
      </c>
      <c r="D251" s="41">
        <v>0.87122699999999997</v>
      </c>
      <c r="E251" s="42">
        <v>-1.1E-5</v>
      </c>
      <c r="F251" s="43">
        <v>1.8E-5</v>
      </c>
      <c r="G251" s="43">
        <v>0</v>
      </c>
      <c r="H251" s="43">
        <v>433</v>
      </c>
      <c r="I251" s="44">
        <v>11</v>
      </c>
      <c r="J251" s="49" t="str">
        <f t="shared" si="12"/>
        <v>TAK</v>
      </c>
      <c r="K251" s="42">
        <v>5.0000000000000004E-6</v>
      </c>
      <c r="L251" s="42">
        <v>3.9999999999999998E-6</v>
      </c>
      <c r="M251" s="42">
        <v>0</v>
      </c>
      <c r="N251" s="43">
        <v>166</v>
      </c>
      <c r="O251" s="44">
        <v>11</v>
      </c>
      <c r="P251" s="49" t="str">
        <f t="shared" si="13"/>
        <v>TAK</v>
      </c>
      <c r="Q251" s="40">
        <v>0</v>
      </c>
      <c r="R251" s="43">
        <v>0</v>
      </c>
      <c r="S251" s="43">
        <v>0</v>
      </c>
      <c r="T251" s="43">
        <v>218</v>
      </c>
      <c r="U251" s="43">
        <v>4</v>
      </c>
      <c r="V251" s="44">
        <v>4</v>
      </c>
      <c r="W251" s="49" t="str">
        <f t="shared" si="14"/>
        <v>TAK</v>
      </c>
    </row>
    <row r="252" spans="1:23" x14ac:dyDescent="0.3">
      <c r="A252" s="68"/>
      <c r="B252" s="24">
        <v>48</v>
      </c>
      <c r="C252" s="40">
        <v>1.8392470000000001</v>
      </c>
      <c r="D252" s="41">
        <v>0.61242200000000002</v>
      </c>
      <c r="E252" s="42">
        <v>1.1E-5</v>
      </c>
      <c r="F252" s="43">
        <v>-1.7E-5</v>
      </c>
      <c r="G252" s="43">
        <v>0</v>
      </c>
      <c r="H252" s="43">
        <v>458</v>
      </c>
      <c r="I252" s="44">
        <v>11</v>
      </c>
      <c r="J252" s="49" t="str">
        <f t="shared" si="12"/>
        <v>TAK</v>
      </c>
      <c r="K252" s="42">
        <v>-9.7E-5</v>
      </c>
      <c r="L252" s="42">
        <v>3.1399999999999999E-4</v>
      </c>
      <c r="M252" s="42">
        <v>0</v>
      </c>
      <c r="N252" s="43">
        <v>391</v>
      </c>
      <c r="O252" s="44">
        <v>29</v>
      </c>
      <c r="P252" s="49" t="str">
        <f t="shared" si="13"/>
        <v>TAK</v>
      </c>
      <c r="Q252" s="40">
        <v>1.747552</v>
      </c>
      <c r="R252" s="43">
        <v>-0.873776</v>
      </c>
      <c r="S252" s="43">
        <v>0.29863800000000001</v>
      </c>
      <c r="T252" s="43">
        <v>194</v>
      </c>
      <c r="U252" s="43">
        <v>4</v>
      </c>
      <c r="V252" s="44">
        <v>4</v>
      </c>
      <c r="W252" s="49" t="str">
        <f t="shared" si="14"/>
        <v>NIE</v>
      </c>
    </row>
    <row r="253" spans="1:23" x14ac:dyDescent="0.3">
      <c r="A253" s="68"/>
      <c r="B253" s="24">
        <v>49</v>
      </c>
      <c r="C253" s="40">
        <v>0.53615000000000002</v>
      </c>
      <c r="D253" s="41">
        <v>0.36301499999999998</v>
      </c>
      <c r="E253" s="42">
        <v>-3.9999999999999998E-6</v>
      </c>
      <c r="F253" s="43">
        <v>7.9999999999999996E-6</v>
      </c>
      <c r="G253" s="43">
        <v>0</v>
      </c>
      <c r="H253" s="43">
        <v>205</v>
      </c>
      <c r="I253" s="44">
        <v>5</v>
      </c>
      <c r="J253" s="49" t="str">
        <f t="shared" si="12"/>
        <v>TAK</v>
      </c>
      <c r="K253" s="42">
        <v>-1.9999999999999999E-6</v>
      </c>
      <c r="L253" s="42">
        <v>3.0000000000000001E-6</v>
      </c>
      <c r="M253" s="42">
        <v>0</v>
      </c>
      <c r="N253" s="43">
        <v>122</v>
      </c>
      <c r="O253" s="44">
        <v>8</v>
      </c>
      <c r="P253" s="49" t="str">
        <f t="shared" si="13"/>
        <v>TAK</v>
      </c>
      <c r="Q253" s="40">
        <v>0</v>
      </c>
      <c r="R253" s="43">
        <v>0</v>
      </c>
      <c r="S253" s="43">
        <v>0</v>
      </c>
      <c r="T253" s="43">
        <v>193</v>
      </c>
      <c r="U253" s="43">
        <v>4</v>
      </c>
      <c r="V253" s="44">
        <v>4</v>
      </c>
      <c r="W253" s="49" t="str">
        <f t="shared" si="14"/>
        <v>TAK</v>
      </c>
    </row>
    <row r="254" spans="1:23" x14ac:dyDescent="0.3">
      <c r="A254" s="68"/>
      <c r="B254" s="24">
        <v>50</v>
      </c>
      <c r="C254" s="40">
        <v>0.164381</v>
      </c>
      <c r="D254" s="41">
        <v>1.079537</v>
      </c>
      <c r="E254" s="42">
        <v>5.0000000000000004E-6</v>
      </c>
      <c r="F254" s="43">
        <v>3.4E-5</v>
      </c>
      <c r="G254" s="43">
        <v>0</v>
      </c>
      <c r="H254" s="43">
        <v>486</v>
      </c>
      <c r="I254" s="44">
        <v>12</v>
      </c>
      <c r="J254" s="49" t="str">
        <f t="shared" si="12"/>
        <v>TAK</v>
      </c>
      <c r="K254" s="42">
        <v>-3.0000000000000001E-6</v>
      </c>
      <c r="L254" s="42">
        <v>7.9999999999999996E-6</v>
      </c>
      <c r="M254" s="42">
        <v>0</v>
      </c>
      <c r="N254" s="43">
        <v>202</v>
      </c>
      <c r="O254" s="44">
        <v>13</v>
      </c>
      <c r="P254" s="49" t="str">
        <f t="shared" si="13"/>
        <v>TAK</v>
      </c>
      <c r="Q254" s="40">
        <v>0</v>
      </c>
      <c r="R254" s="43">
        <v>0</v>
      </c>
      <c r="S254" s="43">
        <v>0</v>
      </c>
      <c r="T254" s="43">
        <v>162</v>
      </c>
      <c r="U254" s="43">
        <v>3</v>
      </c>
      <c r="V254" s="44">
        <v>3</v>
      </c>
      <c r="W254" s="49" t="str">
        <f t="shared" si="14"/>
        <v>TAK</v>
      </c>
    </row>
    <row r="255" spans="1:23" x14ac:dyDescent="0.3">
      <c r="A255" s="68"/>
      <c r="B255" s="24">
        <v>51</v>
      </c>
      <c r="C255" s="40">
        <v>0.116034</v>
      </c>
      <c r="D255" s="41">
        <v>1.801801</v>
      </c>
      <c r="E255" s="42">
        <v>-2.5000000000000001E-5</v>
      </c>
      <c r="F255" s="43">
        <v>3.3000000000000003E-5</v>
      </c>
      <c r="G255" s="43">
        <v>0</v>
      </c>
      <c r="H255" s="43">
        <v>519</v>
      </c>
      <c r="I255" s="44">
        <v>13</v>
      </c>
      <c r="J255" s="49" t="str">
        <f t="shared" si="12"/>
        <v>TAK</v>
      </c>
      <c r="K255" s="42">
        <v>-4.1999999999999998E-5</v>
      </c>
      <c r="L255" s="42">
        <v>7.9999999999999996E-6</v>
      </c>
      <c r="M255" s="42">
        <v>0</v>
      </c>
      <c r="N255" s="43">
        <v>252</v>
      </c>
      <c r="O255" s="44">
        <v>17</v>
      </c>
      <c r="P255" s="49" t="str">
        <f t="shared" si="13"/>
        <v>TAK</v>
      </c>
      <c r="Q255" s="40">
        <v>0</v>
      </c>
      <c r="R255" s="43">
        <v>0</v>
      </c>
      <c r="S255" s="43">
        <v>0</v>
      </c>
      <c r="T255" s="43">
        <v>165</v>
      </c>
      <c r="U255" s="43">
        <v>3</v>
      </c>
      <c r="V255" s="44">
        <v>3</v>
      </c>
      <c r="W255" s="49" t="str">
        <f t="shared" si="14"/>
        <v>TAK</v>
      </c>
    </row>
    <row r="256" spans="1:23" x14ac:dyDescent="0.3">
      <c r="A256" s="68"/>
      <c r="B256" s="24">
        <v>52</v>
      </c>
      <c r="C256" s="40">
        <v>1.5936140000000001</v>
      </c>
      <c r="D256" s="41">
        <v>1.2147939999999999</v>
      </c>
      <c r="E256" s="42">
        <v>1.7475480000000001</v>
      </c>
      <c r="F256" s="43">
        <v>-0.87368199999999996</v>
      </c>
      <c r="G256" s="43">
        <v>0.29863800000000001</v>
      </c>
      <c r="H256" s="43">
        <v>497</v>
      </c>
      <c r="I256" s="44">
        <v>14</v>
      </c>
      <c r="J256" s="49" t="str">
        <f t="shared" si="12"/>
        <v>NIE</v>
      </c>
      <c r="K256" s="42">
        <v>1.7475369999999999</v>
      </c>
      <c r="L256" s="42">
        <v>-0.87362200000000001</v>
      </c>
      <c r="M256" s="42">
        <v>0.29863800000000001</v>
      </c>
      <c r="N256" s="43">
        <v>262</v>
      </c>
      <c r="O256" s="44">
        <v>20</v>
      </c>
      <c r="P256" s="49" t="str">
        <f t="shared" si="13"/>
        <v>NIE</v>
      </c>
      <c r="Q256" s="40">
        <v>1.747552</v>
      </c>
      <c r="R256" s="43">
        <v>-0.873776</v>
      </c>
      <c r="S256" s="43">
        <v>0.29863800000000001</v>
      </c>
      <c r="T256" s="43">
        <v>245</v>
      </c>
      <c r="U256" s="43">
        <v>5</v>
      </c>
      <c r="V256" s="44">
        <v>5</v>
      </c>
      <c r="W256" s="49" t="str">
        <f t="shared" si="14"/>
        <v>NIE</v>
      </c>
    </row>
    <row r="257" spans="1:23" x14ac:dyDescent="0.3">
      <c r="A257" s="68"/>
      <c r="B257" s="24">
        <v>53</v>
      </c>
      <c r="C257" s="40">
        <v>0.86520200000000003</v>
      </c>
      <c r="D257" s="41">
        <v>0.251251</v>
      </c>
      <c r="E257" s="42">
        <v>2.5999999999999998E-5</v>
      </c>
      <c r="F257" s="43">
        <v>-4.5000000000000003E-5</v>
      </c>
      <c r="G257" s="43">
        <v>0</v>
      </c>
      <c r="H257" s="43">
        <v>367</v>
      </c>
      <c r="I257" s="44">
        <v>9</v>
      </c>
      <c r="J257" s="49" t="str">
        <f t="shared" si="12"/>
        <v>TAK</v>
      </c>
      <c r="K257" s="42">
        <v>-1.76E-4</v>
      </c>
      <c r="L257" s="42">
        <v>3.59E-4</v>
      </c>
      <c r="M257" s="42">
        <v>0</v>
      </c>
      <c r="N257" s="43">
        <v>384</v>
      </c>
      <c r="O257" s="44">
        <v>29</v>
      </c>
      <c r="P257" s="49" t="str">
        <f t="shared" si="13"/>
        <v>TAK</v>
      </c>
      <c r="Q257" s="40">
        <v>1.747552</v>
      </c>
      <c r="R257" s="43">
        <v>-0.873776</v>
      </c>
      <c r="S257" s="43">
        <v>0.29863800000000001</v>
      </c>
      <c r="T257" s="43">
        <v>353</v>
      </c>
      <c r="U257" s="43">
        <v>6</v>
      </c>
      <c r="V257" s="44">
        <v>6</v>
      </c>
      <c r="W257" s="49" t="str">
        <f t="shared" si="14"/>
        <v>NIE</v>
      </c>
    </row>
    <row r="258" spans="1:23" x14ac:dyDescent="0.3">
      <c r="A258" s="68"/>
      <c r="B258" s="24">
        <v>54</v>
      </c>
      <c r="C258" s="40">
        <v>5.5529999999999998E-3</v>
      </c>
      <c r="D258" s="41">
        <v>0.40802699999999997</v>
      </c>
      <c r="E258" s="42">
        <v>9.9999999999999995E-7</v>
      </c>
      <c r="F258" s="43">
        <v>4.1999999999999998E-5</v>
      </c>
      <c r="G258" s="43">
        <v>0</v>
      </c>
      <c r="H258" s="43">
        <v>481</v>
      </c>
      <c r="I258" s="44">
        <v>12</v>
      </c>
      <c r="J258" s="49" t="str">
        <f t="shared" si="12"/>
        <v>TAK</v>
      </c>
      <c r="K258" s="42">
        <v>9.0000000000000002E-6</v>
      </c>
      <c r="L258" s="42">
        <v>-1.7E-5</v>
      </c>
      <c r="M258" s="42">
        <v>0</v>
      </c>
      <c r="N258" s="43">
        <v>118</v>
      </c>
      <c r="O258" s="44">
        <v>7</v>
      </c>
      <c r="P258" s="49" t="str">
        <f t="shared" si="13"/>
        <v>TAK</v>
      </c>
      <c r="Q258" s="40">
        <v>0</v>
      </c>
      <c r="R258" s="43">
        <v>0</v>
      </c>
      <c r="S258" s="43">
        <v>0</v>
      </c>
      <c r="T258" s="43">
        <v>111</v>
      </c>
      <c r="U258" s="43">
        <v>2</v>
      </c>
      <c r="V258" s="44">
        <v>2</v>
      </c>
      <c r="W258" s="49" t="str">
        <f t="shared" si="14"/>
        <v>TAK</v>
      </c>
    </row>
    <row r="259" spans="1:23" x14ac:dyDescent="0.3">
      <c r="A259" s="68"/>
      <c r="B259" s="24">
        <v>55</v>
      </c>
      <c r="C259" s="40">
        <v>1.082168</v>
      </c>
      <c r="D259" s="41">
        <v>1.421027</v>
      </c>
      <c r="E259" s="42">
        <v>2.5999999999999998E-5</v>
      </c>
      <c r="F259" s="43">
        <v>-3.1000000000000001E-5</v>
      </c>
      <c r="G259" s="43">
        <v>0</v>
      </c>
      <c r="H259" s="43">
        <v>522</v>
      </c>
      <c r="I259" s="44">
        <v>13</v>
      </c>
      <c r="J259" s="49" t="str">
        <f t="shared" ref="J259:J304" si="30">IF(ABS(G259) &lt; 0.01,"TAK","NIE")</f>
        <v>TAK</v>
      </c>
      <c r="K259" s="42">
        <v>-1.2799999999999999E-4</v>
      </c>
      <c r="L259" s="42">
        <v>-9.0000000000000006E-5</v>
      </c>
      <c r="M259" s="42">
        <v>0</v>
      </c>
      <c r="N259" s="43">
        <v>322</v>
      </c>
      <c r="O259" s="44">
        <v>23</v>
      </c>
      <c r="P259" s="49" t="str">
        <f t="shared" ref="P259:P304" si="31">IF(ABS(M259) &lt; 0.01,"TAK","NIE")</f>
        <v>TAK</v>
      </c>
      <c r="Q259" s="40">
        <v>1.747552</v>
      </c>
      <c r="R259" s="43">
        <v>-0.873776</v>
      </c>
      <c r="S259" s="43">
        <v>0.29863800000000001</v>
      </c>
      <c r="T259" s="43">
        <v>434</v>
      </c>
      <c r="U259" s="43">
        <v>6</v>
      </c>
      <c r="V259" s="44">
        <v>6</v>
      </c>
      <c r="W259" s="49" t="str">
        <f t="shared" ref="W259:W304" si="32">IF(ABS(S259) &lt; 0.01,"TAK","NIE")</f>
        <v>NIE</v>
      </c>
    </row>
    <row r="260" spans="1:23" x14ac:dyDescent="0.3">
      <c r="A260" s="68"/>
      <c r="B260" s="24">
        <v>56</v>
      </c>
      <c r="C260" s="40">
        <v>0.20927200000000001</v>
      </c>
      <c r="D260" s="41">
        <v>0.723491</v>
      </c>
      <c r="E260" s="42">
        <v>-1.0000000000000001E-5</v>
      </c>
      <c r="F260" s="43">
        <v>1.7E-5</v>
      </c>
      <c r="G260" s="43">
        <v>0</v>
      </c>
      <c r="H260" s="43">
        <v>440</v>
      </c>
      <c r="I260" s="44">
        <v>11</v>
      </c>
      <c r="J260" s="49" t="str">
        <f t="shared" si="30"/>
        <v>TAK</v>
      </c>
      <c r="K260" s="42">
        <v>-7.1000000000000005E-5</v>
      </c>
      <c r="L260" s="42">
        <v>1.44E-4</v>
      </c>
      <c r="M260" s="42">
        <v>0</v>
      </c>
      <c r="N260" s="43">
        <v>119</v>
      </c>
      <c r="O260" s="44">
        <v>8</v>
      </c>
      <c r="P260" s="49" t="str">
        <f t="shared" si="31"/>
        <v>TAK</v>
      </c>
      <c r="Q260" s="40">
        <v>0</v>
      </c>
      <c r="R260" s="43">
        <v>0</v>
      </c>
      <c r="S260" s="43">
        <v>0</v>
      </c>
      <c r="T260" s="43">
        <v>164</v>
      </c>
      <c r="U260" s="43">
        <v>3</v>
      </c>
      <c r="V260" s="44">
        <v>3</v>
      </c>
      <c r="W260" s="49" t="str">
        <f t="shared" si="32"/>
        <v>TAK</v>
      </c>
    </row>
    <row r="261" spans="1:23" x14ac:dyDescent="0.3">
      <c r="A261" s="68"/>
      <c r="B261" s="24">
        <v>57</v>
      </c>
      <c r="C261" s="40">
        <v>0.87615600000000005</v>
      </c>
      <c r="D261" s="41">
        <v>1.1326860000000001</v>
      </c>
      <c r="E261" s="42">
        <v>2.0000000000000002E-5</v>
      </c>
      <c r="F261" s="43">
        <v>-2.9E-5</v>
      </c>
      <c r="G261" s="43">
        <v>0</v>
      </c>
      <c r="H261" s="43">
        <v>363</v>
      </c>
      <c r="I261" s="44">
        <v>9</v>
      </c>
      <c r="J261" s="49" t="str">
        <f t="shared" si="30"/>
        <v>TAK</v>
      </c>
      <c r="K261" s="42">
        <v>-1.5E-5</v>
      </c>
      <c r="L261" s="42">
        <v>7.3999999999999996E-5</v>
      </c>
      <c r="M261" s="42">
        <v>0</v>
      </c>
      <c r="N261" s="43">
        <v>164</v>
      </c>
      <c r="O261" s="44">
        <v>11</v>
      </c>
      <c r="P261" s="49" t="str">
        <f t="shared" si="31"/>
        <v>TAK</v>
      </c>
      <c r="Q261" s="40">
        <v>1.747552</v>
      </c>
      <c r="R261" s="43">
        <v>-0.873776</v>
      </c>
      <c r="S261" s="43">
        <v>0.29863800000000001</v>
      </c>
      <c r="T261" s="43">
        <v>294</v>
      </c>
      <c r="U261" s="43">
        <v>5</v>
      </c>
      <c r="V261" s="44">
        <v>5</v>
      </c>
      <c r="W261" s="49" t="str">
        <f t="shared" si="32"/>
        <v>NIE</v>
      </c>
    </row>
    <row r="262" spans="1:23" x14ac:dyDescent="0.3">
      <c r="A262" s="68"/>
      <c r="B262" s="24">
        <v>58</v>
      </c>
      <c r="C262" s="40">
        <v>0.76300400000000002</v>
      </c>
      <c r="D262" s="41">
        <v>0.31180799999999997</v>
      </c>
      <c r="E262" s="42">
        <v>-7.9999999999999996E-6</v>
      </c>
      <c r="F262" s="43">
        <v>-1.4E-5</v>
      </c>
      <c r="G262" s="43">
        <v>0</v>
      </c>
      <c r="H262" s="43">
        <v>332</v>
      </c>
      <c r="I262" s="44">
        <v>8</v>
      </c>
      <c r="J262" s="49" t="str">
        <f t="shared" si="30"/>
        <v>TAK</v>
      </c>
      <c r="K262" s="42">
        <v>-2.6999999999999999E-5</v>
      </c>
      <c r="L262" s="42">
        <v>-1.5100000000000001E-4</v>
      </c>
      <c r="M262" s="42">
        <v>0</v>
      </c>
      <c r="N262" s="43">
        <v>280</v>
      </c>
      <c r="O262" s="44">
        <v>20</v>
      </c>
      <c r="P262" s="49" t="str">
        <f t="shared" si="31"/>
        <v>TAK</v>
      </c>
      <c r="Q262" s="40">
        <v>1.747552</v>
      </c>
      <c r="R262" s="43">
        <v>-0.873776</v>
      </c>
      <c r="S262" s="43">
        <v>0.29863800000000001</v>
      </c>
      <c r="T262" s="43">
        <v>269</v>
      </c>
      <c r="U262" s="43">
        <v>5</v>
      </c>
      <c r="V262" s="44">
        <v>5</v>
      </c>
      <c r="W262" s="49" t="str">
        <f t="shared" si="32"/>
        <v>NIE</v>
      </c>
    </row>
    <row r="263" spans="1:23" x14ac:dyDescent="0.3">
      <c r="A263" s="68"/>
      <c r="B263" s="24">
        <v>59</v>
      </c>
      <c r="C263" s="40">
        <v>1.4140680000000001</v>
      </c>
      <c r="D263" s="41">
        <v>0.122902</v>
      </c>
      <c r="E263" s="42">
        <v>1.7475579999999999</v>
      </c>
      <c r="F263" s="43">
        <v>-0.87382099999999996</v>
      </c>
      <c r="G263" s="43">
        <v>0.29863800000000001</v>
      </c>
      <c r="H263" s="43">
        <v>290</v>
      </c>
      <c r="I263" s="44">
        <v>8</v>
      </c>
      <c r="J263" s="49" t="str">
        <f t="shared" si="30"/>
        <v>NIE</v>
      </c>
      <c r="K263" s="42">
        <v>1.747576</v>
      </c>
      <c r="L263" s="42">
        <v>-0.87394499999999997</v>
      </c>
      <c r="M263" s="42">
        <v>0.29863800000000001</v>
      </c>
      <c r="N263" s="43">
        <v>264</v>
      </c>
      <c r="O263" s="44">
        <v>22</v>
      </c>
      <c r="P263" s="49" t="str">
        <f t="shared" si="31"/>
        <v>NIE</v>
      </c>
      <c r="Q263" s="40">
        <v>0</v>
      </c>
      <c r="R263" s="43">
        <v>0</v>
      </c>
      <c r="S263" s="43">
        <v>0</v>
      </c>
      <c r="T263" s="43">
        <v>276</v>
      </c>
      <c r="U263" s="43">
        <v>5</v>
      </c>
      <c r="V263" s="44">
        <v>5</v>
      </c>
      <c r="W263" s="49" t="str">
        <f t="shared" si="32"/>
        <v>TAK</v>
      </c>
    </row>
    <row r="264" spans="1:23" x14ac:dyDescent="0.3">
      <c r="A264" s="68"/>
      <c r="B264" s="24">
        <v>60</v>
      </c>
      <c r="C264" s="40">
        <v>1.8454200000000001</v>
      </c>
      <c r="D264" s="41">
        <v>1.1109009999999999</v>
      </c>
      <c r="E264" s="42">
        <v>2.6999999999999999E-5</v>
      </c>
      <c r="F264" s="43">
        <v>-4.1E-5</v>
      </c>
      <c r="G264" s="43">
        <v>0</v>
      </c>
      <c r="H264" s="43">
        <v>450</v>
      </c>
      <c r="I264" s="44">
        <v>11</v>
      </c>
      <c r="J264" s="49" t="str">
        <f t="shared" si="30"/>
        <v>TAK</v>
      </c>
      <c r="K264" s="42">
        <v>-1.9900000000000001E-4</v>
      </c>
      <c r="L264" s="42">
        <v>-5.0000000000000002E-5</v>
      </c>
      <c r="M264" s="42">
        <v>0</v>
      </c>
      <c r="N264" s="43">
        <v>323</v>
      </c>
      <c r="O264" s="44">
        <v>23</v>
      </c>
      <c r="P264" s="49" t="str">
        <f t="shared" si="31"/>
        <v>TAK</v>
      </c>
      <c r="Q264" s="40">
        <v>1.747552</v>
      </c>
      <c r="R264" s="43">
        <v>-0.873776</v>
      </c>
      <c r="S264" s="43">
        <v>0.29863800000000001</v>
      </c>
      <c r="T264" s="43">
        <v>198</v>
      </c>
      <c r="U264" s="43">
        <v>4</v>
      </c>
      <c r="V264" s="44">
        <v>4</v>
      </c>
      <c r="W264" s="49" t="str">
        <f t="shared" si="32"/>
        <v>NIE</v>
      </c>
    </row>
    <row r="265" spans="1:23" x14ac:dyDescent="0.3">
      <c r="A265" s="68"/>
      <c r="B265" s="24">
        <v>61</v>
      </c>
      <c r="C265" s="40">
        <v>1.7419560000000001</v>
      </c>
      <c r="D265" s="41">
        <v>1.3782129999999999</v>
      </c>
      <c r="E265" s="42">
        <v>3.4E-5</v>
      </c>
      <c r="F265" s="43">
        <v>-4.0000000000000003E-5</v>
      </c>
      <c r="G265" s="43">
        <v>0</v>
      </c>
      <c r="H265" s="43">
        <v>535</v>
      </c>
      <c r="I265" s="44">
        <v>13</v>
      </c>
      <c r="J265" s="49" t="str">
        <f t="shared" si="30"/>
        <v>TAK</v>
      </c>
      <c r="K265" s="42">
        <v>5.1999999999999997E-5</v>
      </c>
      <c r="L265" s="42">
        <v>9.0300000000000005E-4</v>
      </c>
      <c r="M265" s="42">
        <v>9.9999999999999995E-7</v>
      </c>
      <c r="N265" s="43">
        <v>451</v>
      </c>
      <c r="O265" s="44">
        <v>35</v>
      </c>
      <c r="P265" s="49" t="str">
        <f t="shared" si="31"/>
        <v>TAK</v>
      </c>
      <c r="Q265" s="40">
        <v>1.747552</v>
      </c>
      <c r="R265" s="43">
        <v>-0.873776</v>
      </c>
      <c r="S265" s="43">
        <v>0.29863800000000001</v>
      </c>
      <c r="T265" s="43">
        <v>110</v>
      </c>
      <c r="U265" s="43">
        <v>2</v>
      </c>
      <c r="V265" s="44">
        <v>2</v>
      </c>
      <c r="W265" s="49" t="str">
        <f t="shared" si="32"/>
        <v>NIE</v>
      </c>
    </row>
    <row r="266" spans="1:23" x14ac:dyDescent="0.3">
      <c r="A266" s="68"/>
      <c r="B266" s="24">
        <v>62</v>
      </c>
      <c r="C266" s="40">
        <v>1.4993050000000001</v>
      </c>
      <c r="D266" s="41">
        <v>0.67718299999999998</v>
      </c>
      <c r="E266" s="42">
        <v>1.7475480000000001</v>
      </c>
      <c r="F266" s="43">
        <v>-0.87371799999999999</v>
      </c>
      <c r="G266" s="43">
        <v>0.29863800000000001</v>
      </c>
      <c r="H266" s="43">
        <v>296</v>
      </c>
      <c r="I266" s="44">
        <v>8</v>
      </c>
      <c r="J266" s="49" t="str">
        <f t="shared" si="30"/>
        <v>NIE</v>
      </c>
      <c r="K266" s="42">
        <v>1.7475069999999999</v>
      </c>
      <c r="L266" s="42">
        <v>-0.87348899999999996</v>
      </c>
      <c r="M266" s="42">
        <v>0.29863899999999999</v>
      </c>
      <c r="N266" s="43">
        <v>175</v>
      </c>
      <c r="O266" s="44">
        <v>14</v>
      </c>
      <c r="P266" s="49" t="str">
        <f t="shared" si="31"/>
        <v>NIE</v>
      </c>
      <c r="Q266" s="40">
        <v>1.747552</v>
      </c>
      <c r="R266" s="43">
        <v>-0.873776</v>
      </c>
      <c r="S266" s="43">
        <v>0.29863800000000001</v>
      </c>
      <c r="T266" s="43">
        <v>219</v>
      </c>
      <c r="U266" s="43">
        <v>5</v>
      </c>
      <c r="V266" s="44">
        <v>5</v>
      </c>
      <c r="W266" s="49" t="str">
        <f t="shared" si="32"/>
        <v>NIE</v>
      </c>
    </row>
    <row r="267" spans="1:23" x14ac:dyDescent="0.3">
      <c r="A267" s="68"/>
      <c r="B267" s="24">
        <v>63</v>
      </c>
      <c r="C267" s="40">
        <v>0.74145300000000003</v>
      </c>
      <c r="D267" s="41">
        <v>0.26323099999999999</v>
      </c>
      <c r="E267" s="42">
        <v>1.8E-5</v>
      </c>
      <c r="F267" s="43">
        <v>-3.4E-5</v>
      </c>
      <c r="G267" s="43">
        <v>0</v>
      </c>
      <c r="H267" s="43">
        <v>287</v>
      </c>
      <c r="I267" s="44">
        <v>7</v>
      </c>
      <c r="J267" s="49" t="str">
        <f t="shared" si="30"/>
        <v>TAK</v>
      </c>
      <c r="K267" s="42">
        <v>-3.1000000000000001E-5</v>
      </c>
      <c r="L267" s="42">
        <v>-1.17E-4</v>
      </c>
      <c r="M267" s="42">
        <v>0</v>
      </c>
      <c r="N267" s="43">
        <v>291</v>
      </c>
      <c r="O267" s="44">
        <v>20</v>
      </c>
      <c r="P267" s="49" t="str">
        <f t="shared" si="31"/>
        <v>TAK</v>
      </c>
      <c r="Q267" s="40">
        <v>1.747552</v>
      </c>
      <c r="R267" s="43">
        <v>-0.873776</v>
      </c>
      <c r="S267" s="43">
        <v>0.29863800000000001</v>
      </c>
      <c r="T267" s="43">
        <v>278</v>
      </c>
      <c r="U267" s="43">
        <v>5</v>
      </c>
      <c r="V267" s="44">
        <v>5</v>
      </c>
      <c r="W267" s="49" t="str">
        <f t="shared" si="32"/>
        <v>NIE</v>
      </c>
    </row>
    <row r="268" spans="1:23" x14ac:dyDescent="0.3">
      <c r="A268" s="68"/>
      <c r="B268" s="24">
        <v>64</v>
      </c>
      <c r="C268" s="40">
        <v>0.66914099999999999</v>
      </c>
      <c r="D268" s="41">
        <v>1.7813870000000001</v>
      </c>
      <c r="E268" s="42">
        <v>5.0000000000000004E-6</v>
      </c>
      <c r="F268" s="43">
        <v>2.5999999999999998E-5</v>
      </c>
      <c r="G268" s="43">
        <v>0</v>
      </c>
      <c r="H268" s="43">
        <v>484</v>
      </c>
      <c r="I268" s="44">
        <v>12</v>
      </c>
      <c r="J268" s="49" t="str">
        <f t="shared" si="30"/>
        <v>TAK</v>
      </c>
      <c r="K268" s="42">
        <v>6.0000000000000002E-6</v>
      </c>
      <c r="L268" s="42">
        <v>1.34E-4</v>
      </c>
      <c r="M268" s="42">
        <v>0</v>
      </c>
      <c r="N268" s="43">
        <v>248</v>
      </c>
      <c r="O268" s="44">
        <v>17</v>
      </c>
      <c r="P268" s="49" t="str">
        <f t="shared" si="31"/>
        <v>TAK</v>
      </c>
      <c r="Q268" s="40">
        <v>1.747552</v>
      </c>
      <c r="R268" s="43">
        <v>-0.873776</v>
      </c>
      <c r="S268" s="43">
        <v>0.29863800000000001</v>
      </c>
      <c r="T268" s="43">
        <v>162</v>
      </c>
      <c r="U268" s="43">
        <v>3</v>
      </c>
      <c r="V268" s="44">
        <v>3</v>
      </c>
      <c r="W268" s="49" t="str">
        <f t="shared" si="32"/>
        <v>NIE</v>
      </c>
    </row>
    <row r="269" spans="1:23" x14ac:dyDescent="0.3">
      <c r="A269" s="68"/>
      <c r="B269" s="24">
        <v>65</v>
      </c>
      <c r="C269" s="40">
        <v>0.65514499999999998</v>
      </c>
      <c r="D269" s="41">
        <v>0.78080099999999997</v>
      </c>
      <c r="E269" s="42">
        <v>-1.0000000000000001E-5</v>
      </c>
      <c r="F269" s="43">
        <v>1.5999999999999999E-5</v>
      </c>
      <c r="G269" s="43">
        <v>0</v>
      </c>
      <c r="H269" s="43">
        <v>359</v>
      </c>
      <c r="I269" s="44">
        <v>9</v>
      </c>
      <c r="J269" s="49" t="str">
        <f t="shared" si="30"/>
        <v>TAK</v>
      </c>
      <c r="K269" s="42">
        <v>3.6000000000000001E-5</v>
      </c>
      <c r="L269" s="42">
        <v>4.95E-4</v>
      </c>
      <c r="M269" s="42">
        <v>0</v>
      </c>
      <c r="N269" s="43">
        <v>167</v>
      </c>
      <c r="O269" s="44">
        <v>11</v>
      </c>
      <c r="P269" s="49" t="str">
        <f t="shared" si="31"/>
        <v>TAK</v>
      </c>
      <c r="Q269" s="40">
        <v>1.747552</v>
      </c>
      <c r="R269" s="43">
        <v>-0.873776</v>
      </c>
      <c r="S269" s="43">
        <v>0.29863800000000001</v>
      </c>
      <c r="T269" s="43">
        <v>216</v>
      </c>
      <c r="U269" s="43">
        <v>4</v>
      </c>
      <c r="V269" s="44">
        <v>4</v>
      </c>
      <c r="W269" s="49" t="str">
        <f t="shared" si="32"/>
        <v>NIE</v>
      </c>
    </row>
    <row r="270" spans="1:23" x14ac:dyDescent="0.3">
      <c r="A270" s="68"/>
      <c r="B270" s="24">
        <v>66</v>
      </c>
      <c r="C270" s="40">
        <v>1.7451589999999999</v>
      </c>
      <c r="D270" s="41">
        <v>0.60105799999999998</v>
      </c>
      <c r="E270" s="42">
        <v>1.747552</v>
      </c>
      <c r="F270" s="43">
        <v>-0.87361900000000003</v>
      </c>
      <c r="G270" s="43">
        <v>0.29863800000000001</v>
      </c>
      <c r="H270" s="43">
        <v>629</v>
      </c>
      <c r="I270" s="44">
        <v>20</v>
      </c>
      <c r="J270" s="49" t="str">
        <f t="shared" si="30"/>
        <v>NIE</v>
      </c>
      <c r="K270" s="42">
        <v>1.7475480000000001</v>
      </c>
      <c r="L270" s="42">
        <v>-0.87374200000000002</v>
      </c>
      <c r="M270" s="42">
        <v>0.29863800000000001</v>
      </c>
      <c r="N270" s="43">
        <v>192</v>
      </c>
      <c r="O270" s="44">
        <v>13</v>
      </c>
      <c r="P270" s="49" t="str">
        <f t="shared" si="31"/>
        <v>NIE</v>
      </c>
      <c r="Q270" s="40">
        <v>1.747552</v>
      </c>
      <c r="R270" s="43">
        <v>-0.873776</v>
      </c>
      <c r="S270" s="43">
        <v>0.29863800000000001</v>
      </c>
      <c r="T270" s="43">
        <v>110</v>
      </c>
      <c r="U270" s="43">
        <v>2</v>
      </c>
      <c r="V270" s="44">
        <v>2</v>
      </c>
      <c r="W270" s="49" t="str">
        <f t="shared" si="32"/>
        <v>NIE</v>
      </c>
    </row>
    <row r="271" spans="1:23" x14ac:dyDescent="0.3">
      <c r="A271" s="68"/>
      <c r="B271" s="24">
        <v>67</v>
      </c>
      <c r="C271" s="40">
        <v>7.3437000000000002E-2</v>
      </c>
      <c r="D271" s="41">
        <v>1.5738430000000001</v>
      </c>
      <c r="E271" s="42">
        <v>-3.0000000000000001E-5</v>
      </c>
      <c r="F271" s="43">
        <v>3.8000000000000002E-5</v>
      </c>
      <c r="G271" s="43">
        <v>0</v>
      </c>
      <c r="H271" s="43">
        <v>516</v>
      </c>
      <c r="I271" s="44">
        <v>13</v>
      </c>
      <c r="J271" s="49" t="str">
        <f t="shared" si="30"/>
        <v>TAK</v>
      </c>
      <c r="K271" s="42">
        <v>-1.5999999999999999E-5</v>
      </c>
      <c r="L271" s="42">
        <v>4.0000000000000003E-5</v>
      </c>
      <c r="M271" s="42">
        <v>0</v>
      </c>
      <c r="N271" s="43">
        <v>201</v>
      </c>
      <c r="O271" s="44">
        <v>14</v>
      </c>
      <c r="P271" s="49" t="str">
        <f t="shared" si="31"/>
        <v>TAK</v>
      </c>
      <c r="Q271" s="40">
        <v>0</v>
      </c>
      <c r="R271" s="43">
        <v>0</v>
      </c>
      <c r="S271" s="43">
        <v>0</v>
      </c>
      <c r="T271" s="43">
        <v>166</v>
      </c>
      <c r="U271" s="43">
        <v>3</v>
      </c>
      <c r="V271" s="44">
        <v>3</v>
      </c>
      <c r="W271" s="49" t="str">
        <f t="shared" si="32"/>
        <v>TAK</v>
      </c>
    </row>
    <row r="272" spans="1:23" x14ac:dyDescent="0.3">
      <c r="A272" s="68"/>
      <c r="B272" s="24">
        <v>68</v>
      </c>
      <c r="C272" s="40">
        <v>0.48568099999999997</v>
      </c>
      <c r="D272" s="41">
        <v>1.3602430000000001</v>
      </c>
      <c r="E272" s="42">
        <v>-1.9000000000000001E-5</v>
      </c>
      <c r="F272" s="43">
        <v>3.1000000000000001E-5</v>
      </c>
      <c r="G272" s="43">
        <v>0</v>
      </c>
      <c r="H272" s="43">
        <v>439</v>
      </c>
      <c r="I272" s="44">
        <v>11</v>
      </c>
      <c r="J272" s="49" t="str">
        <f t="shared" si="30"/>
        <v>TAK</v>
      </c>
      <c r="K272" s="42">
        <v>-2.9E-5</v>
      </c>
      <c r="L272" s="42">
        <v>4.8000000000000001E-5</v>
      </c>
      <c r="M272" s="42">
        <v>0</v>
      </c>
      <c r="N272" s="43">
        <v>202</v>
      </c>
      <c r="O272" s="44">
        <v>14</v>
      </c>
      <c r="P272" s="49" t="str">
        <f t="shared" si="31"/>
        <v>TAK</v>
      </c>
      <c r="Q272" s="40">
        <v>0</v>
      </c>
      <c r="R272" s="43">
        <v>0</v>
      </c>
      <c r="S272" s="43">
        <v>0</v>
      </c>
      <c r="T272" s="43">
        <v>254</v>
      </c>
      <c r="U272" s="43">
        <v>5</v>
      </c>
      <c r="V272" s="44">
        <v>5</v>
      </c>
      <c r="W272" s="49" t="str">
        <f t="shared" si="32"/>
        <v>TAK</v>
      </c>
    </row>
    <row r="273" spans="1:23" x14ac:dyDescent="0.3">
      <c r="A273" s="68"/>
      <c r="B273" s="24">
        <v>69</v>
      </c>
      <c r="C273" s="40">
        <v>0.35062100000000002</v>
      </c>
      <c r="D273" s="41">
        <v>1.74729</v>
      </c>
      <c r="E273" s="42">
        <v>5.0000000000000004E-6</v>
      </c>
      <c r="F273" s="43">
        <v>3.0000000000000001E-5</v>
      </c>
      <c r="G273" s="43">
        <v>0</v>
      </c>
      <c r="H273" s="43">
        <v>469</v>
      </c>
      <c r="I273" s="44">
        <v>12</v>
      </c>
      <c r="J273" s="49" t="str">
        <f t="shared" si="30"/>
        <v>TAK</v>
      </c>
      <c r="K273" s="42">
        <v>-3.1999999999999999E-5</v>
      </c>
      <c r="L273" s="42">
        <v>7.9999999999999996E-6</v>
      </c>
      <c r="M273" s="42">
        <v>0</v>
      </c>
      <c r="N273" s="43">
        <v>250</v>
      </c>
      <c r="O273" s="44">
        <v>17</v>
      </c>
      <c r="P273" s="49" t="str">
        <f t="shared" si="31"/>
        <v>TAK</v>
      </c>
      <c r="Q273" s="40">
        <v>0</v>
      </c>
      <c r="R273" s="43">
        <v>0</v>
      </c>
      <c r="S273" s="43">
        <v>0</v>
      </c>
      <c r="T273" s="43">
        <v>218</v>
      </c>
      <c r="U273" s="43">
        <v>4</v>
      </c>
      <c r="V273" s="44">
        <v>4</v>
      </c>
      <c r="W273" s="49" t="str">
        <f t="shared" si="32"/>
        <v>TAK</v>
      </c>
    </row>
    <row r="274" spans="1:23" x14ac:dyDescent="0.3">
      <c r="A274" s="68"/>
      <c r="B274" s="24">
        <v>70</v>
      </c>
      <c r="C274" s="40">
        <v>1.5598540000000001</v>
      </c>
      <c r="D274" s="41">
        <v>8.6485000000000006E-2</v>
      </c>
      <c r="E274" s="42">
        <v>1.747546</v>
      </c>
      <c r="F274" s="43">
        <v>-0.87372099999999997</v>
      </c>
      <c r="G274" s="43">
        <v>0.29863800000000001</v>
      </c>
      <c r="H274" s="43">
        <v>221</v>
      </c>
      <c r="I274" s="44">
        <v>6</v>
      </c>
      <c r="J274" s="49" t="str">
        <f t="shared" si="30"/>
        <v>NIE</v>
      </c>
      <c r="K274" s="42">
        <v>1.7475579999999999</v>
      </c>
      <c r="L274" s="42">
        <v>-0.87367600000000001</v>
      </c>
      <c r="M274" s="42">
        <v>0.29863800000000001</v>
      </c>
      <c r="N274" s="43">
        <v>176</v>
      </c>
      <c r="O274" s="44">
        <v>13</v>
      </c>
      <c r="P274" s="49" t="str">
        <f t="shared" si="31"/>
        <v>NIE</v>
      </c>
      <c r="Q274" s="40">
        <v>1.747552</v>
      </c>
      <c r="R274" s="43">
        <v>-0.873776</v>
      </c>
      <c r="S274" s="43">
        <v>0.29863800000000001</v>
      </c>
      <c r="T274" s="43">
        <v>243</v>
      </c>
      <c r="U274" s="43">
        <v>5</v>
      </c>
      <c r="V274" s="44">
        <v>5</v>
      </c>
      <c r="W274" s="49" t="str">
        <f t="shared" si="32"/>
        <v>NIE</v>
      </c>
    </row>
    <row r="275" spans="1:23" x14ac:dyDescent="0.3">
      <c r="A275" s="68"/>
      <c r="B275" s="24">
        <v>71</v>
      </c>
      <c r="C275" s="40">
        <v>0.57115099999999996</v>
      </c>
      <c r="D275" s="41">
        <v>0.88896299999999995</v>
      </c>
      <c r="E275" s="42">
        <v>-2.1999999999999999E-5</v>
      </c>
      <c r="F275" s="43">
        <v>3.8000000000000002E-5</v>
      </c>
      <c r="G275" s="43">
        <v>0</v>
      </c>
      <c r="H275" s="43">
        <v>353</v>
      </c>
      <c r="I275" s="44">
        <v>9</v>
      </c>
      <c r="J275" s="49" t="str">
        <f t="shared" si="30"/>
        <v>TAK</v>
      </c>
      <c r="K275" s="42">
        <v>-3.8000000000000002E-5</v>
      </c>
      <c r="L275" s="42">
        <v>3.8999999999999999E-5</v>
      </c>
      <c r="M275" s="42">
        <v>0</v>
      </c>
      <c r="N275" s="43">
        <v>203</v>
      </c>
      <c r="O275" s="44">
        <v>14</v>
      </c>
      <c r="P275" s="49" t="str">
        <f t="shared" si="31"/>
        <v>TAK</v>
      </c>
      <c r="Q275" s="40">
        <v>0</v>
      </c>
      <c r="R275" s="43">
        <v>0</v>
      </c>
      <c r="S275" s="43">
        <v>0</v>
      </c>
      <c r="T275" s="43">
        <v>197</v>
      </c>
      <c r="U275" s="43">
        <v>4</v>
      </c>
      <c r="V275" s="44">
        <v>4</v>
      </c>
      <c r="W275" s="49" t="str">
        <f t="shared" si="32"/>
        <v>TAK</v>
      </c>
    </row>
    <row r="276" spans="1:23" x14ac:dyDescent="0.3">
      <c r="A276" s="68"/>
      <c r="B276" s="24">
        <v>72</v>
      </c>
      <c r="C276" s="40">
        <v>1.4229499999999999</v>
      </c>
      <c r="D276" s="41">
        <v>1.9639329999999999</v>
      </c>
      <c r="E276" s="42">
        <v>3.8999999999999999E-5</v>
      </c>
      <c r="F276" s="43">
        <v>-3.6000000000000001E-5</v>
      </c>
      <c r="G276" s="43">
        <v>0</v>
      </c>
      <c r="H276" s="43">
        <v>539</v>
      </c>
      <c r="I276" s="44">
        <v>13</v>
      </c>
      <c r="J276" s="49" t="str">
        <f t="shared" si="30"/>
        <v>TAK</v>
      </c>
      <c r="K276" s="42">
        <v>3.0299999999999999E-4</v>
      </c>
      <c r="L276" s="42">
        <v>-6.6500000000000001E-4</v>
      </c>
      <c r="M276" s="42">
        <v>0</v>
      </c>
      <c r="N276" s="43">
        <v>568</v>
      </c>
      <c r="O276" s="44">
        <v>47</v>
      </c>
      <c r="P276" s="49" t="str">
        <f t="shared" si="31"/>
        <v>TAK</v>
      </c>
      <c r="Q276" s="40">
        <v>0</v>
      </c>
      <c r="R276" s="43">
        <v>0</v>
      </c>
      <c r="S276" s="43">
        <v>0</v>
      </c>
      <c r="T276" s="43">
        <v>202</v>
      </c>
      <c r="U276" s="43">
        <v>4</v>
      </c>
      <c r="V276" s="44">
        <v>4</v>
      </c>
      <c r="W276" s="49" t="str">
        <f t="shared" si="32"/>
        <v>TAK</v>
      </c>
    </row>
    <row r="277" spans="1:23" x14ac:dyDescent="0.3">
      <c r="A277" s="68"/>
      <c r="B277" s="24">
        <v>73</v>
      </c>
      <c r="C277" s="40">
        <v>0.84990399999999999</v>
      </c>
      <c r="D277" s="41">
        <v>0.80454400000000004</v>
      </c>
      <c r="E277" s="42">
        <v>-6.0000000000000002E-6</v>
      </c>
      <c r="F277" s="43">
        <v>-2.9E-5</v>
      </c>
      <c r="G277" s="43">
        <v>0</v>
      </c>
      <c r="H277" s="43">
        <v>408</v>
      </c>
      <c r="I277" s="44">
        <v>10</v>
      </c>
      <c r="J277" s="49" t="str">
        <f t="shared" si="30"/>
        <v>TAK</v>
      </c>
      <c r="K277" s="42">
        <v>2.0000000000000002E-5</v>
      </c>
      <c r="L277" s="42">
        <v>-4.3000000000000002E-5</v>
      </c>
      <c r="M277" s="42">
        <v>0</v>
      </c>
      <c r="N277" s="43">
        <v>241</v>
      </c>
      <c r="O277" s="44">
        <v>17</v>
      </c>
      <c r="P277" s="49" t="str">
        <f t="shared" si="31"/>
        <v>TAK</v>
      </c>
      <c r="Q277" s="40">
        <v>1.747552</v>
      </c>
      <c r="R277" s="43">
        <v>-0.873776</v>
      </c>
      <c r="S277" s="43">
        <v>0.29863800000000001</v>
      </c>
      <c r="T277" s="43">
        <v>302</v>
      </c>
      <c r="U277" s="43">
        <v>5</v>
      </c>
      <c r="V277" s="44">
        <v>5</v>
      </c>
      <c r="W277" s="49" t="str">
        <f t="shared" si="32"/>
        <v>NIE</v>
      </c>
    </row>
    <row r="278" spans="1:23" x14ac:dyDescent="0.3">
      <c r="A278" s="68"/>
      <c r="B278" s="24">
        <v>74</v>
      </c>
      <c r="C278" s="40">
        <v>1.7669699999999999</v>
      </c>
      <c r="D278" s="41">
        <v>1.4274370000000001</v>
      </c>
      <c r="E278" s="42">
        <v>3.1000000000000001E-5</v>
      </c>
      <c r="F278" s="43">
        <v>-3.8999999999999999E-5</v>
      </c>
      <c r="G278" s="43">
        <v>0</v>
      </c>
      <c r="H278" s="43">
        <v>541</v>
      </c>
      <c r="I278" s="44">
        <v>13</v>
      </c>
      <c r="J278" s="49" t="str">
        <f t="shared" si="30"/>
        <v>TAK</v>
      </c>
      <c r="K278" s="42">
        <v>-1.5E-5</v>
      </c>
      <c r="L278" s="42">
        <v>4.17E-4</v>
      </c>
      <c r="M278" s="42">
        <v>0</v>
      </c>
      <c r="N278" s="43">
        <v>427</v>
      </c>
      <c r="O278" s="44">
        <v>32</v>
      </c>
      <c r="P278" s="49" t="str">
        <f t="shared" si="31"/>
        <v>TAK</v>
      </c>
      <c r="Q278" s="40">
        <v>1.747552</v>
      </c>
      <c r="R278" s="43">
        <v>-0.873776</v>
      </c>
      <c r="S278" s="43">
        <v>0.29863800000000001</v>
      </c>
      <c r="T278" s="43">
        <v>131</v>
      </c>
      <c r="U278" s="43">
        <v>3</v>
      </c>
      <c r="V278" s="44">
        <v>3</v>
      </c>
      <c r="W278" s="49" t="str">
        <f t="shared" si="32"/>
        <v>NIE</v>
      </c>
    </row>
    <row r="279" spans="1:23" x14ac:dyDescent="0.3">
      <c r="A279" s="68"/>
      <c r="B279" s="24">
        <v>75</v>
      </c>
      <c r="C279" s="40">
        <v>2.2946000000000001E-2</v>
      </c>
      <c r="D279" s="41">
        <v>0.33292699999999997</v>
      </c>
      <c r="E279" s="42">
        <v>-3.6000000000000001E-5</v>
      </c>
      <c r="F279" s="43">
        <v>4.6999999999999997E-5</v>
      </c>
      <c r="G279" s="43">
        <v>0</v>
      </c>
      <c r="H279" s="43">
        <v>431</v>
      </c>
      <c r="I279" s="44">
        <v>11</v>
      </c>
      <c r="J279" s="49" t="str">
        <f t="shared" si="30"/>
        <v>TAK</v>
      </c>
      <c r="K279" s="42">
        <v>1.7E-5</v>
      </c>
      <c r="L279" s="42">
        <v>-3.3000000000000003E-5</v>
      </c>
      <c r="M279" s="42">
        <v>0</v>
      </c>
      <c r="N279" s="43">
        <v>120</v>
      </c>
      <c r="O279" s="44">
        <v>7</v>
      </c>
      <c r="P279" s="49" t="str">
        <f t="shared" si="31"/>
        <v>TAK</v>
      </c>
      <c r="Q279" s="40">
        <v>0</v>
      </c>
      <c r="R279" s="43">
        <v>0</v>
      </c>
      <c r="S279" s="43">
        <v>0</v>
      </c>
      <c r="T279" s="43">
        <v>111</v>
      </c>
      <c r="U279" s="43">
        <v>2</v>
      </c>
      <c r="V279" s="44">
        <v>2</v>
      </c>
      <c r="W279" s="49" t="str">
        <f t="shared" si="32"/>
        <v>TAK</v>
      </c>
    </row>
    <row r="280" spans="1:23" x14ac:dyDescent="0.3">
      <c r="A280" s="68"/>
      <c r="B280" s="24">
        <v>76</v>
      </c>
      <c r="C280" s="40">
        <v>0.58164800000000005</v>
      </c>
      <c r="D280" s="41">
        <v>0.214308</v>
      </c>
      <c r="E280" s="42">
        <v>-1.9999999999999999E-6</v>
      </c>
      <c r="F280" s="43">
        <v>-1.9999999999999999E-6</v>
      </c>
      <c r="G280" s="43">
        <v>0</v>
      </c>
      <c r="H280" s="43">
        <v>254</v>
      </c>
      <c r="I280" s="44">
        <v>6</v>
      </c>
      <c r="J280" s="49" t="str">
        <f t="shared" si="30"/>
        <v>TAK</v>
      </c>
      <c r="K280" s="42">
        <v>3.6999999999999998E-5</v>
      </c>
      <c r="L280" s="42">
        <v>5.13E-4</v>
      </c>
      <c r="M280" s="42">
        <v>0</v>
      </c>
      <c r="N280" s="43">
        <v>166</v>
      </c>
      <c r="O280" s="44">
        <v>11</v>
      </c>
      <c r="P280" s="49" t="str">
        <f t="shared" si="31"/>
        <v>TAK</v>
      </c>
      <c r="Q280" s="40">
        <v>0</v>
      </c>
      <c r="R280" s="43">
        <v>0</v>
      </c>
      <c r="S280" s="43">
        <v>0</v>
      </c>
      <c r="T280" s="43">
        <v>140</v>
      </c>
      <c r="U280" s="43">
        <v>3</v>
      </c>
      <c r="V280" s="44">
        <v>3</v>
      </c>
      <c r="W280" s="49" t="str">
        <f t="shared" si="32"/>
        <v>TAK</v>
      </c>
    </row>
    <row r="281" spans="1:23" x14ac:dyDescent="0.3">
      <c r="A281" s="68"/>
      <c r="B281" s="24">
        <v>77</v>
      </c>
      <c r="C281" s="40">
        <v>1.786357</v>
      </c>
      <c r="D281" s="41">
        <v>1.0699909999999999</v>
      </c>
      <c r="E281" s="42">
        <v>1.8E-5</v>
      </c>
      <c r="F281" s="43">
        <v>-2.4000000000000001E-5</v>
      </c>
      <c r="G281" s="43">
        <v>0</v>
      </c>
      <c r="H281" s="43">
        <v>520</v>
      </c>
      <c r="I281" s="44">
        <v>13</v>
      </c>
      <c r="J281" s="49" t="str">
        <f t="shared" si="30"/>
        <v>TAK</v>
      </c>
      <c r="K281" s="42">
        <v>-5.8999999999999998E-5</v>
      </c>
      <c r="L281" s="42">
        <v>5.4000000000000001E-4</v>
      </c>
      <c r="M281" s="42">
        <v>0</v>
      </c>
      <c r="N281" s="43">
        <v>429</v>
      </c>
      <c r="O281" s="44">
        <v>32</v>
      </c>
      <c r="P281" s="49" t="str">
        <f t="shared" si="31"/>
        <v>TAK</v>
      </c>
      <c r="Q281" s="40">
        <v>1.747552</v>
      </c>
      <c r="R281" s="43">
        <v>-0.873776</v>
      </c>
      <c r="S281" s="43">
        <v>0.29863800000000001</v>
      </c>
      <c r="T281" s="43">
        <v>165</v>
      </c>
      <c r="U281" s="43">
        <v>3</v>
      </c>
      <c r="V281" s="44">
        <v>3</v>
      </c>
      <c r="W281" s="49" t="str">
        <f t="shared" si="32"/>
        <v>NIE</v>
      </c>
    </row>
    <row r="282" spans="1:23" x14ac:dyDescent="0.3">
      <c r="A282" s="68"/>
      <c r="B282" s="24">
        <v>78</v>
      </c>
      <c r="C282" s="40">
        <v>0.437662</v>
      </c>
      <c r="D282" s="41">
        <v>0.63824000000000003</v>
      </c>
      <c r="E282" s="42">
        <v>-5.0000000000000004E-6</v>
      </c>
      <c r="F282" s="43">
        <v>9.0000000000000002E-6</v>
      </c>
      <c r="G282" s="43">
        <v>0</v>
      </c>
      <c r="H282" s="43">
        <v>364</v>
      </c>
      <c r="I282" s="44">
        <v>9</v>
      </c>
      <c r="J282" s="49" t="str">
        <f t="shared" si="30"/>
        <v>TAK</v>
      </c>
      <c r="K282" s="42">
        <v>1.36E-4</v>
      </c>
      <c r="L282" s="42">
        <v>2.2900000000000001E-4</v>
      </c>
      <c r="M282" s="42">
        <v>0</v>
      </c>
      <c r="N282" s="43">
        <v>164</v>
      </c>
      <c r="O282" s="44">
        <v>11</v>
      </c>
      <c r="P282" s="49" t="str">
        <f t="shared" si="31"/>
        <v>TAK</v>
      </c>
      <c r="Q282" s="40">
        <v>0</v>
      </c>
      <c r="R282" s="43">
        <v>0</v>
      </c>
      <c r="S282" s="43">
        <v>0</v>
      </c>
      <c r="T282" s="43">
        <v>208</v>
      </c>
      <c r="U282" s="43">
        <v>4</v>
      </c>
      <c r="V282" s="44">
        <v>4</v>
      </c>
      <c r="W282" s="49" t="str">
        <f t="shared" si="32"/>
        <v>TAK</v>
      </c>
    </row>
    <row r="283" spans="1:23" x14ac:dyDescent="0.3">
      <c r="A283" s="68"/>
      <c r="B283" s="24">
        <v>79</v>
      </c>
      <c r="C283" s="40">
        <v>0.37318400000000002</v>
      </c>
      <c r="D283" s="41">
        <v>0.23172400000000001</v>
      </c>
      <c r="E283" s="42">
        <v>-9.9999999999999995E-7</v>
      </c>
      <c r="F283" s="43">
        <v>3.0000000000000001E-6</v>
      </c>
      <c r="G283" s="43">
        <v>0</v>
      </c>
      <c r="H283" s="43">
        <v>199</v>
      </c>
      <c r="I283" s="44">
        <v>5</v>
      </c>
      <c r="J283" s="49" t="str">
        <f t="shared" si="30"/>
        <v>TAK</v>
      </c>
      <c r="K283" s="42">
        <v>1.9999999999999999E-6</v>
      </c>
      <c r="L283" s="42">
        <v>1.9999999999999999E-6</v>
      </c>
      <c r="M283" s="42">
        <v>0</v>
      </c>
      <c r="N283" s="43">
        <v>166</v>
      </c>
      <c r="O283" s="44">
        <v>10</v>
      </c>
      <c r="P283" s="49" t="str">
        <f t="shared" si="31"/>
        <v>TAK</v>
      </c>
      <c r="Q283" s="40">
        <v>0</v>
      </c>
      <c r="R283" s="43">
        <v>0</v>
      </c>
      <c r="S283" s="43">
        <v>0</v>
      </c>
      <c r="T283" s="43">
        <v>218</v>
      </c>
      <c r="U283" s="43">
        <v>4</v>
      </c>
      <c r="V283" s="44">
        <v>4</v>
      </c>
      <c r="W283" s="49" t="str">
        <f t="shared" si="32"/>
        <v>TAK</v>
      </c>
    </row>
    <row r="284" spans="1:23" x14ac:dyDescent="0.3">
      <c r="A284" s="68"/>
      <c r="B284" s="24">
        <v>80</v>
      </c>
      <c r="C284" s="40">
        <v>1.7971870000000001</v>
      </c>
      <c r="D284" s="41">
        <v>0.67298899999999995</v>
      </c>
      <c r="E284" s="42">
        <v>-3.9999999999999998E-6</v>
      </c>
      <c r="F284" s="43">
        <v>-3.0000000000000001E-5</v>
      </c>
      <c r="G284" s="43">
        <v>0</v>
      </c>
      <c r="H284" s="43">
        <v>423</v>
      </c>
      <c r="I284" s="44">
        <v>10</v>
      </c>
      <c r="J284" s="49" t="str">
        <f t="shared" si="30"/>
        <v>TAK</v>
      </c>
      <c r="K284" s="42">
        <v>-2.02E-4</v>
      </c>
      <c r="L284" s="42">
        <v>1.5100000000000001E-4</v>
      </c>
      <c r="M284" s="42">
        <v>0</v>
      </c>
      <c r="N284" s="43">
        <v>370</v>
      </c>
      <c r="O284" s="44">
        <v>26</v>
      </c>
      <c r="P284" s="49" t="str">
        <f t="shared" si="31"/>
        <v>TAK</v>
      </c>
      <c r="Q284" s="40">
        <v>1.747552</v>
      </c>
      <c r="R284" s="43">
        <v>-0.873776</v>
      </c>
      <c r="S284" s="43">
        <v>0.29863800000000001</v>
      </c>
      <c r="T284" s="43">
        <v>163</v>
      </c>
      <c r="U284" s="43">
        <v>3</v>
      </c>
      <c r="V284" s="44">
        <v>3</v>
      </c>
      <c r="W284" s="49" t="str">
        <f t="shared" si="32"/>
        <v>NIE</v>
      </c>
    </row>
    <row r="285" spans="1:23" x14ac:dyDescent="0.3">
      <c r="A285" s="68"/>
      <c r="B285" s="24">
        <v>81</v>
      </c>
      <c r="C285" s="40">
        <v>0.78713100000000003</v>
      </c>
      <c r="D285" s="41">
        <v>1.114959</v>
      </c>
      <c r="E285" s="42">
        <v>5.0000000000000004E-6</v>
      </c>
      <c r="F285" s="43">
        <v>2.5000000000000001E-5</v>
      </c>
      <c r="G285" s="43">
        <v>0</v>
      </c>
      <c r="H285" s="43">
        <v>408</v>
      </c>
      <c r="I285" s="44">
        <v>10</v>
      </c>
      <c r="J285" s="49" t="str">
        <f t="shared" si="30"/>
        <v>TAK</v>
      </c>
      <c r="K285" s="42">
        <v>-2.3E-5</v>
      </c>
      <c r="L285" s="42">
        <v>1.0000000000000001E-5</v>
      </c>
      <c r="M285" s="42">
        <v>0</v>
      </c>
      <c r="N285" s="43">
        <v>205</v>
      </c>
      <c r="O285" s="44">
        <v>14</v>
      </c>
      <c r="P285" s="49" t="str">
        <f t="shared" si="31"/>
        <v>TAK</v>
      </c>
      <c r="Q285" s="40">
        <v>1.747552</v>
      </c>
      <c r="R285" s="43">
        <v>-0.873776</v>
      </c>
      <c r="S285" s="43">
        <v>0.29863800000000001</v>
      </c>
      <c r="T285" s="43">
        <v>289</v>
      </c>
      <c r="U285" s="43">
        <v>5</v>
      </c>
      <c r="V285" s="44">
        <v>5</v>
      </c>
      <c r="W285" s="49" t="str">
        <f t="shared" si="32"/>
        <v>NIE</v>
      </c>
    </row>
    <row r="286" spans="1:23" x14ac:dyDescent="0.3">
      <c r="A286" s="68"/>
      <c r="B286" s="24">
        <v>82</v>
      </c>
      <c r="C286" s="40">
        <v>1.625904</v>
      </c>
      <c r="D286" s="41">
        <v>2.6626E-2</v>
      </c>
      <c r="E286" s="42">
        <v>1.747552</v>
      </c>
      <c r="F286" s="43">
        <v>-0.87377499999999997</v>
      </c>
      <c r="G286" s="43">
        <v>0.29863800000000001</v>
      </c>
      <c r="H286" s="43">
        <v>149</v>
      </c>
      <c r="I286" s="44">
        <v>4</v>
      </c>
      <c r="J286" s="49" t="str">
        <f t="shared" si="30"/>
        <v>NIE</v>
      </c>
      <c r="K286" s="42">
        <v>1.747546</v>
      </c>
      <c r="L286" s="42">
        <v>-0.87374300000000005</v>
      </c>
      <c r="M286" s="42">
        <v>0.29863800000000001</v>
      </c>
      <c r="N286" s="43">
        <v>169</v>
      </c>
      <c r="O286" s="44">
        <v>13</v>
      </c>
      <c r="P286" s="49" t="str">
        <f t="shared" si="31"/>
        <v>NIE</v>
      </c>
      <c r="Q286" s="40">
        <v>1.747552</v>
      </c>
      <c r="R286" s="43">
        <v>-0.873776</v>
      </c>
      <c r="S286" s="43">
        <v>0.29863800000000001</v>
      </c>
      <c r="T286" s="43">
        <v>219</v>
      </c>
      <c r="U286" s="43">
        <v>4</v>
      </c>
      <c r="V286" s="44">
        <v>4</v>
      </c>
      <c r="W286" s="49" t="str">
        <f t="shared" si="32"/>
        <v>NIE</v>
      </c>
    </row>
    <row r="287" spans="1:23" x14ac:dyDescent="0.3">
      <c r="A287" s="68"/>
      <c r="B287" s="24">
        <v>83</v>
      </c>
      <c r="C287" s="40">
        <v>0.58209</v>
      </c>
      <c r="D287" s="41">
        <v>0.26067499999999999</v>
      </c>
      <c r="E287" s="42">
        <v>-3.0000000000000001E-6</v>
      </c>
      <c r="F287" s="43">
        <v>-3.0000000000000001E-6</v>
      </c>
      <c r="G287" s="43">
        <v>0</v>
      </c>
      <c r="H287" s="43">
        <v>255</v>
      </c>
      <c r="I287" s="44">
        <v>6</v>
      </c>
      <c r="J287" s="49" t="str">
        <f t="shared" si="30"/>
        <v>TAK</v>
      </c>
      <c r="K287" s="42">
        <v>2.3E-5</v>
      </c>
      <c r="L287" s="42">
        <v>2.8600000000000001E-4</v>
      </c>
      <c r="M287" s="42">
        <v>0</v>
      </c>
      <c r="N287" s="43">
        <v>162</v>
      </c>
      <c r="O287" s="44">
        <v>11</v>
      </c>
      <c r="P287" s="49" t="str">
        <f t="shared" si="31"/>
        <v>TAK</v>
      </c>
      <c r="Q287" s="40">
        <v>0</v>
      </c>
      <c r="R287" s="43">
        <v>0</v>
      </c>
      <c r="S287" s="43">
        <v>0</v>
      </c>
      <c r="T287" s="43">
        <v>142</v>
      </c>
      <c r="U287" s="43">
        <v>3</v>
      </c>
      <c r="V287" s="44">
        <v>3</v>
      </c>
      <c r="W287" s="49" t="str">
        <f t="shared" si="32"/>
        <v>TAK</v>
      </c>
    </row>
    <row r="288" spans="1:23" x14ac:dyDescent="0.3">
      <c r="A288" s="68"/>
      <c r="B288" s="24">
        <v>84</v>
      </c>
      <c r="C288" s="40">
        <v>7.8218999999999997E-2</v>
      </c>
      <c r="D288" s="41">
        <v>0.90169600000000005</v>
      </c>
      <c r="E288" s="42">
        <v>5.0000000000000004E-6</v>
      </c>
      <c r="F288" s="43">
        <v>5.3000000000000001E-5</v>
      </c>
      <c r="G288" s="43">
        <v>0</v>
      </c>
      <c r="H288" s="43">
        <v>479</v>
      </c>
      <c r="I288" s="44">
        <v>12</v>
      </c>
      <c r="J288" s="49" t="str">
        <f t="shared" si="30"/>
        <v>TAK</v>
      </c>
      <c r="K288" s="42">
        <v>1.2E-5</v>
      </c>
      <c r="L288" s="42">
        <v>9.0000000000000002E-6</v>
      </c>
      <c r="M288" s="42">
        <v>0</v>
      </c>
      <c r="N288" s="43">
        <v>165</v>
      </c>
      <c r="O288" s="44">
        <v>11</v>
      </c>
      <c r="P288" s="49" t="str">
        <f t="shared" si="31"/>
        <v>TAK</v>
      </c>
      <c r="Q288" s="40">
        <v>0</v>
      </c>
      <c r="R288" s="43">
        <v>0</v>
      </c>
      <c r="S288" s="43">
        <v>0</v>
      </c>
      <c r="T288" s="43">
        <v>165</v>
      </c>
      <c r="U288" s="43">
        <v>3</v>
      </c>
      <c r="V288" s="44">
        <v>3</v>
      </c>
      <c r="W288" s="49" t="str">
        <f t="shared" si="32"/>
        <v>TAK</v>
      </c>
    </row>
    <row r="289" spans="1:23" x14ac:dyDescent="0.3">
      <c r="A289" s="68"/>
      <c r="B289" s="24">
        <v>85</v>
      </c>
      <c r="C289" s="40">
        <v>1.2670090000000001</v>
      </c>
      <c r="D289" s="41">
        <v>1.653816</v>
      </c>
      <c r="E289" s="42">
        <v>3.0000000000000001E-6</v>
      </c>
      <c r="F289" s="43">
        <v>-3.0000000000000001E-5</v>
      </c>
      <c r="G289" s="43">
        <v>0</v>
      </c>
      <c r="H289" s="43">
        <v>574</v>
      </c>
      <c r="I289" s="44">
        <v>14</v>
      </c>
      <c r="J289" s="49" t="str">
        <f t="shared" si="30"/>
        <v>TAK</v>
      </c>
      <c r="K289" s="42">
        <v>8.7000000000000001E-5</v>
      </c>
      <c r="L289" s="42">
        <v>6.5600000000000001E-4</v>
      </c>
      <c r="M289" s="42">
        <v>9.9999999999999995E-7</v>
      </c>
      <c r="N289" s="43">
        <v>449</v>
      </c>
      <c r="O289" s="44">
        <v>35</v>
      </c>
      <c r="P289" s="49" t="str">
        <f t="shared" si="31"/>
        <v>TAK</v>
      </c>
      <c r="Q289" s="40">
        <v>0</v>
      </c>
      <c r="R289" s="43">
        <v>0</v>
      </c>
      <c r="S289" s="43">
        <v>0</v>
      </c>
      <c r="T289" s="43">
        <v>268</v>
      </c>
      <c r="U289" s="43">
        <v>4</v>
      </c>
      <c r="V289" s="44">
        <v>4</v>
      </c>
      <c r="W289" s="49" t="str">
        <f t="shared" si="32"/>
        <v>TAK</v>
      </c>
    </row>
    <row r="290" spans="1:23" x14ac:dyDescent="0.3">
      <c r="A290" s="68"/>
      <c r="B290" s="24">
        <v>86</v>
      </c>
      <c r="C290" s="40">
        <v>0.81999900000000003</v>
      </c>
      <c r="D290" s="41">
        <v>1.6671469999999999</v>
      </c>
      <c r="E290" s="42">
        <v>-4.0000000000000003E-5</v>
      </c>
      <c r="F290" s="43">
        <v>5.7000000000000003E-5</v>
      </c>
      <c r="G290" s="43">
        <v>0</v>
      </c>
      <c r="H290" s="43">
        <v>444</v>
      </c>
      <c r="I290" s="44">
        <v>11</v>
      </c>
      <c r="J290" s="49" t="str">
        <f t="shared" si="30"/>
        <v>TAK</v>
      </c>
      <c r="K290" s="42">
        <v>-1.8E-5</v>
      </c>
      <c r="L290" s="42">
        <v>1.1400000000000001E-4</v>
      </c>
      <c r="M290" s="42">
        <v>0</v>
      </c>
      <c r="N290" s="43">
        <v>242</v>
      </c>
      <c r="O290" s="44">
        <v>17</v>
      </c>
      <c r="P290" s="49" t="str">
        <f t="shared" si="31"/>
        <v>TAK</v>
      </c>
      <c r="Q290" s="40">
        <v>1.747552</v>
      </c>
      <c r="R290" s="43">
        <v>-0.873776</v>
      </c>
      <c r="S290" s="43">
        <v>0.29863800000000001</v>
      </c>
      <c r="T290" s="43">
        <v>295</v>
      </c>
      <c r="U290" s="43">
        <v>5</v>
      </c>
      <c r="V290" s="44">
        <v>5</v>
      </c>
      <c r="W290" s="49" t="str">
        <f t="shared" si="32"/>
        <v>NIE</v>
      </c>
    </row>
    <row r="291" spans="1:23" x14ac:dyDescent="0.3">
      <c r="A291" s="68"/>
      <c r="B291" s="24">
        <v>87</v>
      </c>
      <c r="C291" s="40">
        <v>0.196795</v>
      </c>
      <c r="D291" s="41">
        <v>1.225114</v>
      </c>
      <c r="E291" s="42">
        <v>5.0000000000000004E-6</v>
      </c>
      <c r="F291" s="43">
        <v>3.4999999999999997E-5</v>
      </c>
      <c r="G291" s="43">
        <v>0</v>
      </c>
      <c r="H291" s="43">
        <v>467</v>
      </c>
      <c r="I291" s="44">
        <v>12</v>
      </c>
      <c r="J291" s="49" t="str">
        <f t="shared" si="30"/>
        <v>TAK</v>
      </c>
      <c r="K291" s="42">
        <v>-6.9999999999999999E-6</v>
      </c>
      <c r="L291" s="42">
        <v>1.7E-5</v>
      </c>
      <c r="M291" s="42">
        <v>0</v>
      </c>
      <c r="N291" s="43">
        <v>204</v>
      </c>
      <c r="O291" s="44">
        <v>14</v>
      </c>
      <c r="P291" s="49" t="str">
        <f t="shared" si="31"/>
        <v>TAK</v>
      </c>
      <c r="Q291" s="40">
        <v>0</v>
      </c>
      <c r="R291" s="43">
        <v>0</v>
      </c>
      <c r="S291" s="43">
        <v>0</v>
      </c>
      <c r="T291" s="43">
        <v>163</v>
      </c>
      <c r="U291" s="43">
        <v>3</v>
      </c>
      <c r="V291" s="44">
        <v>3</v>
      </c>
      <c r="W291" s="49" t="str">
        <f t="shared" si="32"/>
        <v>TAK</v>
      </c>
    </row>
    <row r="292" spans="1:23" x14ac:dyDescent="0.3">
      <c r="A292" s="68"/>
      <c r="B292" s="24">
        <v>88</v>
      </c>
      <c r="C292" s="40">
        <v>0.99245499999999998</v>
      </c>
      <c r="D292" s="41">
        <v>0.95397399999999999</v>
      </c>
      <c r="E292" s="42">
        <v>-3.9999999999999998E-6</v>
      </c>
      <c r="F292" s="43">
        <v>-5.1999999999999997E-5</v>
      </c>
      <c r="G292" s="43">
        <v>0</v>
      </c>
      <c r="H292" s="43">
        <v>481</v>
      </c>
      <c r="I292" s="44">
        <v>12</v>
      </c>
      <c r="J292" s="49" t="str">
        <f t="shared" si="30"/>
        <v>TAK</v>
      </c>
      <c r="K292" s="42">
        <v>-1.8900000000000001E-4</v>
      </c>
      <c r="L292" s="42">
        <v>-1.92E-4</v>
      </c>
      <c r="M292" s="42">
        <v>0</v>
      </c>
      <c r="N292" s="43">
        <v>321</v>
      </c>
      <c r="O292" s="44">
        <v>23</v>
      </c>
      <c r="P292" s="49" t="str">
        <f t="shared" si="31"/>
        <v>TAK</v>
      </c>
      <c r="Q292" s="40">
        <v>1.747552</v>
      </c>
      <c r="R292" s="43">
        <v>-0.873776</v>
      </c>
      <c r="S292" s="43">
        <v>0.29863800000000001</v>
      </c>
      <c r="T292" s="43">
        <v>293</v>
      </c>
      <c r="U292" s="43">
        <v>4</v>
      </c>
      <c r="V292" s="44">
        <v>4</v>
      </c>
      <c r="W292" s="49" t="str">
        <f t="shared" si="32"/>
        <v>NIE</v>
      </c>
    </row>
    <row r="293" spans="1:23" x14ac:dyDescent="0.3">
      <c r="A293" s="68"/>
      <c r="B293" s="24">
        <v>89</v>
      </c>
      <c r="C293" s="40">
        <v>0.51797300000000002</v>
      </c>
      <c r="D293" s="41">
        <v>9.9521999999999999E-2</v>
      </c>
      <c r="E293" s="42">
        <v>-9.9999999999999995E-7</v>
      </c>
      <c r="F293" s="43">
        <v>-9.9999999999999995E-7</v>
      </c>
      <c r="G293" s="43">
        <v>0</v>
      </c>
      <c r="H293" s="43">
        <v>167</v>
      </c>
      <c r="I293" s="44">
        <v>4</v>
      </c>
      <c r="J293" s="49" t="str">
        <f t="shared" si="30"/>
        <v>TAK</v>
      </c>
      <c r="K293" s="42">
        <v>1.0399999999999999E-4</v>
      </c>
      <c r="L293" s="42">
        <v>4.95E-4</v>
      </c>
      <c r="M293" s="42">
        <v>0</v>
      </c>
      <c r="N293" s="43">
        <v>165</v>
      </c>
      <c r="O293" s="44">
        <v>11</v>
      </c>
      <c r="P293" s="49" t="str">
        <f t="shared" si="31"/>
        <v>TAK</v>
      </c>
      <c r="Q293" s="40">
        <v>0</v>
      </c>
      <c r="R293" s="43">
        <v>0</v>
      </c>
      <c r="S293" s="43">
        <v>0</v>
      </c>
      <c r="T293" s="43">
        <v>142</v>
      </c>
      <c r="U293" s="43">
        <v>3</v>
      </c>
      <c r="V293" s="44">
        <v>3</v>
      </c>
      <c r="W293" s="49" t="str">
        <f t="shared" si="32"/>
        <v>TAK</v>
      </c>
    </row>
    <row r="294" spans="1:23" x14ac:dyDescent="0.3">
      <c r="A294" s="68"/>
      <c r="B294" s="24">
        <v>90</v>
      </c>
      <c r="C294" s="40">
        <v>1.141864</v>
      </c>
      <c r="D294" s="41">
        <v>0.451264</v>
      </c>
      <c r="E294" s="42">
        <v>3.0000000000000001E-6</v>
      </c>
      <c r="F294" s="43">
        <v>-3.1000000000000001E-5</v>
      </c>
      <c r="G294" s="43">
        <v>0</v>
      </c>
      <c r="H294" s="43">
        <v>576</v>
      </c>
      <c r="I294" s="44">
        <v>14</v>
      </c>
      <c r="J294" s="49" t="str">
        <f t="shared" si="30"/>
        <v>TAK</v>
      </c>
      <c r="K294" s="42">
        <v>4.44E-4</v>
      </c>
      <c r="L294" s="42">
        <v>-7.5799999999999999E-4</v>
      </c>
      <c r="M294" s="42">
        <v>9.9999999999999995E-7</v>
      </c>
      <c r="N294" s="43">
        <v>894</v>
      </c>
      <c r="O294" s="44">
        <v>92</v>
      </c>
      <c r="P294" s="49" t="str">
        <f t="shared" si="31"/>
        <v>TAK</v>
      </c>
      <c r="Q294" s="40">
        <v>1.747552</v>
      </c>
      <c r="R294" s="43">
        <v>-0.873776</v>
      </c>
      <c r="S294" s="43">
        <v>0.29863800000000001</v>
      </c>
      <c r="T294" s="43">
        <v>336</v>
      </c>
      <c r="U294" s="43">
        <v>4</v>
      </c>
      <c r="V294" s="44">
        <v>4</v>
      </c>
      <c r="W294" s="49" t="str">
        <f t="shared" si="32"/>
        <v>NIE</v>
      </c>
    </row>
    <row r="295" spans="1:23" x14ac:dyDescent="0.3">
      <c r="A295" s="68"/>
      <c r="B295" s="24">
        <v>91</v>
      </c>
      <c r="C295" s="40">
        <v>1.401186</v>
      </c>
      <c r="D295" s="41">
        <v>1.4488209999999999</v>
      </c>
      <c r="E295" s="42">
        <v>3.1000000000000001E-5</v>
      </c>
      <c r="F295" s="43">
        <v>-2.5999999999999998E-5</v>
      </c>
      <c r="G295" s="43">
        <v>0</v>
      </c>
      <c r="H295" s="43">
        <v>559</v>
      </c>
      <c r="I295" s="44">
        <v>13</v>
      </c>
      <c r="J295" s="49" t="str">
        <f t="shared" si="30"/>
        <v>TAK</v>
      </c>
      <c r="K295" s="42">
        <v>-6.6299999999999996E-4</v>
      </c>
      <c r="L295" s="42">
        <v>1.281E-3</v>
      </c>
      <c r="M295" s="42">
        <v>1.9999999999999999E-6</v>
      </c>
      <c r="N295" s="43">
        <v>2198</v>
      </c>
      <c r="O295" s="44">
        <v>221</v>
      </c>
      <c r="P295" s="49" t="str">
        <f t="shared" si="31"/>
        <v>TAK</v>
      </c>
      <c r="Q295" s="40">
        <v>0</v>
      </c>
      <c r="R295" s="43">
        <v>0</v>
      </c>
      <c r="S295" s="43">
        <v>0</v>
      </c>
      <c r="T295" s="43">
        <v>276</v>
      </c>
      <c r="U295" s="43">
        <v>5</v>
      </c>
      <c r="V295" s="44">
        <v>5</v>
      </c>
      <c r="W295" s="49" t="str">
        <f t="shared" si="32"/>
        <v>TAK</v>
      </c>
    </row>
    <row r="296" spans="1:23" x14ac:dyDescent="0.3">
      <c r="A296" s="68"/>
      <c r="B296" s="24">
        <v>92</v>
      </c>
      <c r="C296" s="40">
        <v>1.6651469999999999</v>
      </c>
      <c r="D296" s="41">
        <v>0.67263700000000004</v>
      </c>
      <c r="E296" s="42">
        <v>1.7475499999999999</v>
      </c>
      <c r="F296" s="43">
        <v>-0.87371900000000002</v>
      </c>
      <c r="G296" s="43">
        <v>0.29863800000000001</v>
      </c>
      <c r="H296" s="43">
        <v>551</v>
      </c>
      <c r="I296" s="44">
        <v>16</v>
      </c>
      <c r="J296" s="49" t="str">
        <f t="shared" si="30"/>
        <v>NIE</v>
      </c>
      <c r="K296" s="42">
        <v>1.7475609999999999</v>
      </c>
      <c r="L296" s="42">
        <v>-0.87364200000000003</v>
      </c>
      <c r="M296" s="42">
        <v>0.29863800000000001</v>
      </c>
      <c r="N296" s="43">
        <v>271</v>
      </c>
      <c r="O296" s="44">
        <v>22</v>
      </c>
      <c r="P296" s="49" t="str">
        <f t="shared" si="31"/>
        <v>NIE</v>
      </c>
      <c r="Q296" s="40">
        <v>1.747552</v>
      </c>
      <c r="R296" s="43">
        <v>-0.873776</v>
      </c>
      <c r="S296" s="43">
        <v>0.29863800000000001</v>
      </c>
      <c r="T296" s="43">
        <v>193</v>
      </c>
      <c r="U296" s="43">
        <v>4</v>
      </c>
      <c r="V296" s="44">
        <v>4</v>
      </c>
      <c r="W296" s="49" t="str">
        <f t="shared" si="32"/>
        <v>NIE</v>
      </c>
    </row>
    <row r="297" spans="1:23" x14ac:dyDescent="0.3">
      <c r="A297" s="68"/>
      <c r="B297" s="24">
        <v>93</v>
      </c>
      <c r="C297" s="40">
        <v>6.7461999999999994E-2</v>
      </c>
      <c r="D297" s="41">
        <v>1.0108140000000001</v>
      </c>
      <c r="E297" s="42">
        <v>-2.0000000000000002E-5</v>
      </c>
      <c r="F297" s="43">
        <v>2.6999999999999999E-5</v>
      </c>
      <c r="G297" s="43">
        <v>0</v>
      </c>
      <c r="H297" s="43">
        <v>515</v>
      </c>
      <c r="I297" s="44">
        <v>13</v>
      </c>
      <c r="J297" s="49" t="str">
        <f t="shared" si="30"/>
        <v>TAK</v>
      </c>
      <c r="K297" s="42">
        <v>1.5999999999999999E-5</v>
      </c>
      <c r="L297" s="42">
        <v>1.2E-5</v>
      </c>
      <c r="M297" s="42">
        <v>0</v>
      </c>
      <c r="N297" s="43">
        <v>166</v>
      </c>
      <c r="O297" s="44">
        <v>11</v>
      </c>
      <c r="P297" s="49" t="str">
        <f t="shared" si="31"/>
        <v>TAK</v>
      </c>
      <c r="Q297" s="40">
        <v>0</v>
      </c>
      <c r="R297" s="43">
        <v>0</v>
      </c>
      <c r="S297" s="43">
        <v>0</v>
      </c>
      <c r="T297" s="43">
        <v>164</v>
      </c>
      <c r="U297" s="43">
        <v>3</v>
      </c>
      <c r="V297" s="44">
        <v>3</v>
      </c>
      <c r="W297" s="49" t="str">
        <f t="shared" si="32"/>
        <v>TAK</v>
      </c>
    </row>
    <row r="298" spans="1:23" x14ac:dyDescent="0.3">
      <c r="A298" s="68"/>
      <c r="B298" s="24">
        <v>94</v>
      </c>
      <c r="C298" s="40">
        <v>1.264251</v>
      </c>
      <c r="D298" s="41">
        <v>1.987012</v>
      </c>
      <c r="E298" s="42">
        <v>4.1E-5</v>
      </c>
      <c r="F298" s="43">
        <v>-4.1999999999999998E-5</v>
      </c>
      <c r="G298" s="43">
        <v>0</v>
      </c>
      <c r="H298" s="43">
        <v>519</v>
      </c>
      <c r="I298" s="44">
        <v>13</v>
      </c>
      <c r="J298" s="49" t="str">
        <f t="shared" si="30"/>
        <v>TAK</v>
      </c>
      <c r="K298" s="42">
        <v>-1.0399999999999999E-4</v>
      </c>
      <c r="L298" s="42">
        <v>2.2900000000000001E-4</v>
      </c>
      <c r="M298" s="42">
        <v>0</v>
      </c>
      <c r="N298" s="43">
        <v>389</v>
      </c>
      <c r="O298" s="44">
        <v>29</v>
      </c>
      <c r="P298" s="49" t="str">
        <f t="shared" si="31"/>
        <v>TAK</v>
      </c>
      <c r="Q298" s="40">
        <v>0</v>
      </c>
      <c r="R298" s="43">
        <v>0</v>
      </c>
      <c r="S298" s="43">
        <v>0</v>
      </c>
      <c r="T298" s="43">
        <v>273</v>
      </c>
      <c r="U298" s="43">
        <v>4</v>
      </c>
      <c r="V298" s="44">
        <v>4</v>
      </c>
      <c r="W298" s="49" t="str">
        <f t="shared" si="32"/>
        <v>TAK</v>
      </c>
    </row>
    <row r="299" spans="1:23" x14ac:dyDescent="0.3">
      <c r="A299" s="68"/>
      <c r="B299" s="24">
        <v>95</v>
      </c>
      <c r="C299" s="40">
        <v>1.2531190000000001</v>
      </c>
      <c r="D299" s="41">
        <v>0.80962000000000001</v>
      </c>
      <c r="E299" s="42">
        <v>3.4E-5</v>
      </c>
      <c r="F299" s="43">
        <v>-2.9E-5</v>
      </c>
      <c r="G299" s="43">
        <v>0</v>
      </c>
      <c r="H299" s="43">
        <v>552</v>
      </c>
      <c r="I299" s="44">
        <v>13</v>
      </c>
      <c r="J299" s="49" t="str">
        <f t="shared" si="30"/>
        <v>TAK</v>
      </c>
      <c r="K299" s="42">
        <v>5.7399999999999997E-4</v>
      </c>
      <c r="L299" s="42">
        <v>-1.0200000000000001E-3</v>
      </c>
      <c r="M299" s="42">
        <v>9.9999999999999995E-7</v>
      </c>
      <c r="N299" s="43">
        <v>1635</v>
      </c>
      <c r="O299" s="44">
        <v>167</v>
      </c>
      <c r="P299" s="49" t="str">
        <f t="shared" si="31"/>
        <v>TAK</v>
      </c>
      <c r="Q299" s="40">
        <v>0</v>
      </c>
      <c r="R299" s="43">
        <v>0</v>
      </c>
      <c r="S299" s="43">
        <v>0</v>
      </c>
      <c r="T299" s="43">
        <v>329</v>
      </c>
      <c r="U299" s="43">
        <v>5</v>
      </c>
      <c r="V299" s="44">
        <v>5</v>
      </c>
      <c r="W299" s="49" t="str">
        <f t="shared" si="32"/>
        <v>TAK</v>
      </c>
    </row>
    <row r="300" spans="1:23" x14ac:dyDescent="0.3">
      <c r="A300" s="68"/>
      <c r="B300" s="24">
        <v>96</v>
      </c>
      <c r="C300" s="40">
        <v>0.39876299999999998</v>
      </c>
      <c r="D300" s="41">
        <v>1.1575610000000001</v>
      </c>
      <c r="E300" s="42">
        <v>-1.4E-5</v>
      </c>
      <c r="F300" s="43">
        <v>2.3E-5</v>
      </c>
      <c r="G300" s="43">
        <v>0</v>
      </c>
      <c r="H300" s="43">
        <v>437</v>
      </c>
      <c r="I300" s="44">
        <v>11</v>
      </c>
      <c r="J300" s="49" t="str">
        <f t="shared" si="30"/>
        <v>TAK</v>
      </c>
      <c r="K300" s="42">
        <v>-7.9999999999999996E-6</v>
      </c>
      <c r="L300" s="42">
        <v>1.4E-5</v>
      </c>
      <c r="M300" s="42">
        <v>0</v>
      </c>
      <c r="N300" s="43">
        <v>199</v>
      </c>
      <c r="O300" s="44">
        <v>14</v>
      </c>
      <c r="P300" s="49" t="str">
        <f t="shared" si="31"/>
        <v>TAK</v>
      </c>
      <c r="Q300" s="40">
        <v>0</v>
      </c>
      <c r="R300" s="43">
        <v>0</v>
      </c>
      <c r="S300" s="43">
        <v>0</v>
      </c>
      <c r="T300" s="43">
        <v>219</v>
      </c>
      <c r="U300" s="43">
        <v>4</v>
      </c>
      <c r="V300" s="44">
        <v>4</v>
      </c>
      <c r="W300" s="49" t="str">
        <f t="shared" si="32"/>
        <v>TAK</v>
      </c>
    </row>
    <row r="301" spans="1:23" x14ac:dyDescent="0.3">
      <c r="A301" s="68"/>
      <c r="B301" s="24">
        <v>97</v>
      </c>
      <c r="C301" s="40">
        <v>1.551887</v>
      </c>
      <c r="D301" s="41">
        <v>1.0015799999999999</v>
      </c>
      <c r="E301" s="42">
        <v>1.747549</v>
      </c>
      <c r="F301" s="43">
        <v>-0.87371200000000004</v>
      </c>
      <c r="G301" s="43">
        <v>0.29863800000000001</v>
      </c>
      <c r="H301" s="43">
        <v>435</v>
      </c>
      <c r="I301" s="44">
        <v>12</v>
      </c>
      <c r="J301" s="49" t="str">
        <f t="shared" si="30"/>
        <v>NIE</v>
      </c>
      <c r="K301" s="42">
        <v>1.74752</v>
      </c>
      <c r="L301" s="42">
        <v>-0.87361299999999997</v>
      </c>
      <c r="M301" s="42">
        <v>0.29863800000000001</v>
      </c>
      <c r="N301" s="43">
        <v>252</v>
      </c>
      <c r="O301" s="44">
        <v>20</v>
      </c>
      <c r="P301" s="49" t="str">
        <f t="shared" si="31"/>
        <v>NIE</v>
      </c>
      <c r="Q301" s="40">
        <v>1.747552</v>
      </c>
      <c r="R301" s="43">
        <v>-0.873776</v>
      </c>
      <c r="S301" s="43">
        <v>0.29863800000000001</v>
      </c>
      <c r="T301" s="43">
        <v>267</v>
      </c>
      <c r="U301" s="43">
        <v>5</v>
      </c>
      <c r="V301" s="44">
        <v>5</v>
      </c>
      <c r="W301" s="49" t="str">
        <f t="shared" si="32"/>
        <v>NIE</v>
      </c>
    </row>
    <row r="302" spans="1:23" x14ac:dyDescent="0.3">
      <c r="A302" s="68"/>
      <c r="B302" s="24">
        <v>98</v>
      </c>
      <c r="C302" s="40">
        <v>0.14862500000000001</v>
      </c>
      <c r="D302" s="41">
        <v>1.151351</v>
      </c>
      <c r="E302" s="42">
        <v>6.0000000000000002E-6</v>
      </c>
      <c r="F302" s="43">
        <v>4.3999999999999999E-5</v>
      </c>
      <c r="G302" s="43">
        <v>0</v>
      </c>
      <c r="H302" s="43">
        <v>482</v>
      </c>
      <c r="I302" s="44">
        <v>12</v>
      </c>
      <c r="J302" s="49" t="str">
        <f t="shared" si="30"/>
        <v>TAK</v>
      </c>
      <c r="K302" s="42">
        <v>-5.0000000000000004E-6</v>
      </c>
      <c r="L302" s="42">
        <v>1.2999999999999999E-5</v>
      </c>
      <c r="M302" s="42">
        <v>0</v>
      </c>
      <c r="N302" s="43">
        <v>202</v>
      </c>
      <c r="O302" s="44">
        <v>13</v>
      </c>
      <c r="P302" s="49" t="str">
        <f t="shared" si="31"/>
        <v>TAK</v>
      </c>
      <c r="Q302" s="40">
        <v>0</v>
      </c>
      <c r="R302" s="43">
        <v>0</v>
      </c>
      <c r="S302" s="43">
        <v>0</v>
      </c>
      <c r="T302" s="43">
        <v>164</v>
      </c>
      <c r="U302" s="43">
        <v>3</v>
      </c>
      <c r="V302" s="44">
        <v>3</v>
      </c>
      <c r="W302" s="49" t="str">
        <f t="shared" si="32"/>
        <v>TAK</v>
      </c>
    </row>
    <row r="303" spans="1:23" x14ac:dyDescent="0.3">
      <c r="A303" s="68"/>
      <c r="B303" s="24">
        <v>99</v>
      </c>
      <c r="C303" s="40">
        <v>1.5242119999999999</v>
      </c>
      <c r="D303" s="41">
        <v>0.67058799999999996</v>
      </c>
      <c r="E303" s="42">
        <v>1.7475419999999999</v>
      </c>
      <c r="F303" s="43">
        <v>-0.87376799999999999</v>
      </c>
      <c r="G303" s="43">
        <v>0.29863800000000001</v>
      </c>
      <c r="H303" s="43">
        <v>335</v>
      </c>
      <c r="I303" s="44">
        <v>9</v>
      </c>
      <c r="J303" s="49" t="str">
        <f t="shared" si="30"/>
        <v>NIE</v>
      </c>
      <c r="K303" s="42">
        <v>1.7474940000000001</v>
      </c>
      <c r="L303" s="42">
        <v>-0.87340899999999999</v>
      </c>
      <c r="M303" s="42">
        <v>0.29863899999999999</v>
      </c>
      <c r="N303" s="43">
        <v>174</v>
      </c>
      <c r="O303" s="44">
        <v>14</v>
      </c>
      <c r="P303" s="49" t="str">
        <f t="shared" si="31"/>
        <v>NIE</v>
      </c>
      <c r="Q303" s="40">
        <v>1.747552</v>
      </c>
      <c r="R303" s="43">
        <v>-0.873776</v>
      </c>
      <c r="S303" s="43">
        <v>0.29863800000000001</v>
      </c>
      <c r="T303" s="43">
        <v>259</v>
      </c>
      <c r="U303" s="43">
        <v>5</v>
      </c>
      <c r="V303" s="44">
        <v>5</v>
      </c>
      <c r="W303" s="49" t="str">
        <f t="shared" si="32"/>
        <v>NIE</v>
      </c>
    </row>
    <row r="304" spans="1:23" ht="15" thickBot="1" x14ac:dyDescent="0.35">
      <c r="A304" s="69"/>
      <c r="B304" s="25">
        <v>100</v>
      </c>
      <c r="C304" s="36">
        <v>1.731101</v>
      </c>
      <c r="D304" s="45">
        <v>0.29392499999999999</v>
      </c>
      <c r="E304" s="46">
        <v>1.7475499999999999</v>
      </c>
      <c r="F304" s="47">
        <v>-0.87362700000000004</v>
      </c>
      <c r="G304" s="47">
        <v>0.29863800000000001</v>
      </c>
      <c r="H304" s="47">
        <v>629</v>
      </c>
      <c r="I304" s="48">
        <v>20</v>
      </c>
      <c r="J304" s="49" t="str">
        <f t="shared" si="30"/>
        <v>NIE</v>
      </c>
      <c r="K304" s="46">
        <v>1.747598</v>
      </c>
      <c r="L304" s="46">
        <v>-0.87367600000000001</v>
      </c>
      <c r="M304" s="46">
        <v>0.29863800000000001</v>
      </c>
      <c r="N304" s="47">
        <v>218</v>
      </c>
      <c r="O304" s="48">
        <v>17</v>
      </c>
      <c r="P304" s="49" t="str">
        <f t="shared" si="31"/>
        <v>NIE</v>
      </c>
      <c r="Q304" s="36">
        <v>1.747552</v>
      </c>
      <c r="R304" s="47">
        <v>-0.873776</v>
      </c>
      <c r="S304" s="47">
        <v>0.29863800000000001</v>
      </c>
      <c r="T304" s="47">
        <v>138</v>
      </c>
      <c r="U304" s="47">
        <v>3</v>
      </c>
      <c r="V304" s="48">
        <v>3</v>
      </c>
      <c r="W304" s="49" t="str">
        <f t="shared" si="32"/>
        <v>NIE</v>
      </c>
    </row>
    <row r="305" spans="1:23" ht="15" thickBot="1" x14ac:dyDescent="0.35">
      <c r="A305" s="60" t="s">
        <v>29</v>
      </c>
      <c r="B305" s="60"/>
      <c r="C305" s="60">
        <f>AVERAGEIF($J205:$J304, "TAK", C205:C304)</f>
        <v>0.85269328915662668</v>
      </c>
      <c r="D305" s="60">
        <f t="shared" ref="D305" si="33">AVERAGEIF($J205:$J304, "TAK", D205:D304)</f>
        <v>1.0469638072289156</v>
      </c>
      <c r="E305" s="60">
        <f t="shared" ref="E305" si="34">AVERAGEIF($J205:$J304, "TAK", E205:E304)</f>
        <v>3.9879518072289149E-6</v>
      </c>
      <c r="F305" s="60">
        <f t="shared" ref="F305" si="35">AVERAGEIF($J205:$J304, "TAK", F205:F304)</f>
        <v>3.7349397590361391E-7</v>
      </c>
      <c r="G305" s="60">
        <f t="shared" ref="G305" si="36">AVERAGEIF($J205:$J304, "TAK", G205:G304)</f>
        <v>0</v>
      </c>
      <c r="H305" s="60">
        <f t="shared" ref="H305" si="37">AVERAGEIF($J205:$J304, "TAK", H205:H304)</f>
        <v>437.73493975903614</v>
      </c>
      <c r="I305" s="60">
        <f t="shared" ref="I305" si="38">AVERAGEIF($J205:$J304, "TAK", I205:I304)</f>
        <v>10.759036144578314</v>
      </c>
      <c r="J305" s="60">
        <f>COUNTIF(J205:J304, "TAK")</f>
        <v>83</v>
      </c>
      <c r="K305" s="60">
        <f>AVERAGEIF($P205:$P304, "TAK", K205:K304)</f>
        <v>-1.9012048192771083E-5</v>
      </c>
      <c r="L305" s="60">
        <f t="shared" ref="L305" si="39">AVERAGEIF($P205:$P304, "TAK", L205:L304)</f>
        <v>5.425301204819277E-5</v>
      </c>
      <c r="M305" s="60">
        <f t="shared" ref="M305" si="40">AVERAGEIF($P205:$P304, "TAK", M205:M304)</f>
        <v>2.1686746987951813E-7</v>
      </c>
      <c r="N305" s="60">
        <f t="shared" ref="N305" si="41">AVERAGEIF($P205:$P304, "TAK", N205:N304)</f>
        <v>494.07228915662648</v>
      </c>
      <c r="O305" s="60">
        <f t="shared" ref="O305" si="42">AVERAGEIF($P205:$P304, "TAK", O205:O304)</f>
        <v>42.807228915662648</v>
      </c>
      <c r="P305" s="60">
        <f>COUNTIF(P205:P304, "TAK")</f>
        <v>83</v>
      </c>
      <c r="Q305" s="60">
        <f>AVERAGEIF($W205:$W304, "TAK", Q205:Q304)</f>
        <v>0</v>
      </c>
      <c r="R305" s="60">
        <f t="shared" ref="R305" si="43">AVERAGEIF($W205:$W304, "TAK", R205:R304)</f>
        <v>0</v>
      </c>
      <c r="S305" s="60">
        <f t="shared" ref="S305" si="44">AVERAGEIF($W205:$W304, "TAK", S205:S304)</f>
        <v>0</v>
      </c>
      <c r="T305" s="60">
        <f t="shared" ref="T305" si="45">AVERAGEIF($W205:$W304, "TAK", T205:T304)</f>
        <v>206.0888888888889</v>
      </c>
      <c r="U305" s="60">
        <f t="shared" ref="U305" si="46">AVERAGEIF($W205:$W304, "TAK", U205:U304)</f>
        <v>3.6888888888888891</v>
      </c>
      <c r="V305" s="60">
        <f t="shared" ref="V305" si="47">AVERAGEIF($W205:$W304, "TAK", V205:V304)</f>
        <v>3.6888888888888891</v>
      </c>
      <c r="W305" s="60">
        <f>COUNTIF(W205:W304, "TAK")</f>
        <v>45</v>
      </c>
    </row>
  </sheetData>
  <mergeCells count="10">
    <mergeCell ref="A3:A102"/>
    <mergeCell ref="A104:A203"/>
    <mergeCell ref="A205:A304"/>
    <mergeCell ref="D1:D2"/>
    <mergeCell ref="Q1:W1"/>
    <mergeCell ref="K1:P1"/>
    <mergeCell ref="A1:A2"/>
    <mergeCell ref="E1:J1"/>
    <mergeCell ref="C1:C2"/>
    <mergeCell ref="B1:B2"/>
  </mergeCells>
  <conditionalFormatting sqref="E1:W1 E306:W1048576 E2:I2 K2:O2 Q2:V2 E3:W102 E104:W203 E205:W304">
    <cfRule type="containsText" dxfId="2" priority="3" operator="containsText" text="TAK">
      <formula>NOT(ISERROR(SEARCH("TAK",E1)))</formula>
    </cfRule>
  </conditionalFormatting>
  <conditionalFormatting sqref="J1 P1 W1 J306:J1048576 P306:P1048576 W306:W1048576 J3:J102 P3:P102 W3:W102 W104:W203 P104:P203 J104:J203 J205:J304 P205:P304 W205:W304">
    <cfRule type="containsText" dxfId="1" priority="1" operator="containsText" text="NIE">
      <formula>NOT(ISERROR(SEARCH("NIE",J1)))</formula>
    </cfRule>
  </conditionalFormatting>
  <conditionalFormatting sqref="Y10">
    <cfRule type="containsText" dxfId="3" priority="2" operator="containsText" text="NIE">
      <formula>NOT(ISERROR(SEARCH("NIE",Y10)))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"/>
  <sheetViews>
    <sheetView workbookViewId="0">
      <selection activeCell="D3" sqref="D3"/>
    </sheetView>
  </sheetViews>
  <sheetFormatPr defaultColWidth="9.109375" defaultRowHeight="14.4" x14ac:dyDescent="0.3"/>
  <cols>
    <col min="1" max="1" width="8.6640625" style="27" customWidth="1"/>
    <col min="2" max="4" width="15.6640625" style="27" customWidth="1"/>
    <col min="5" max="6" width="8.6640625" style="27" customWidth="1"/>
    <col min="7" max="7" width="16.6640625" style="27" customWidth="1"/>
    <col min="8" max="10" width="15.6640625" style="27" customWidth="1"/>
    <col min="11" max="12" width="8.6640625" style="27" customWidth="1"/>
    <col min="13" max="13" width="16.6640625" style="27" customWidth="1"/>
    <col min="14" max="16" width="15.6640625" style="27" customWidth="1"/>
    <col min="17" max="19" width="8.6640625" style="27" customWidth="1"/>
    <col min="20" max="20" width="16.6640625" style="27" customWidth="1"/>
    <col min="21" max="16384" width="9.109375" style="27"/>
  </cols>
  <sheetData>
    <row r="1" spans="1:20" ht="30" customHeight="1" x14ac:dyDescent="0.3">
      <c r="A1" s="77" t="s">
        <v>8</v>
      </c>
      <c r="B1" s="79" t="s">
        <v>6</v>
      </c>
      <c r="C1" s="80"/>
      <c r="D1" s="80"/>
      <c r="E1" s="80"/>
      <c r="F1" s="80"/>
      <c r="G1" s="70"/>
      <c r="H1" s="76" t="s">
        <v>7</v>
      </c>
      <c r="I1" s="76"/>
      <c r="J1" s="76"/>
      <c r="K1" s="73"/>
      <c r="L1" s="74"/>
      <c r="M1" s="74"/>
      <c r="N1" s="72" t="s">
        <v>11</v>
      </c>
      <c r="O1" s="73"/>
      <c r="P1" s="73"/>
      <c r="Q1" s="73"/>
      <c r="R1" s="73"/>
      <c r="S1" s="74"/>
      <c r="T1" s="75"/>
    </row>
    <row r="2" spans="1:20" ht="30" customHeight="1" thickBot="1" x14ac:dyDescent="0.35">
      <c r="A2" s="78"/>
      <c r="B2" s="13" t="s">
        <v>3</v>
      </c>
      <c r="C2" s="5" t="s">
        <v>4</v>
      </c>
      <c r="D2" s="14" t="s">
        <v>5</v>
      </c>
      <c r="E2" s="14" t="s">
        <v>9</v>
      </c>
      <c r="F2" s="14" t="s">
        <v>10</v>
      </c>
      <c r="G2" s="15" t="s">
        <v>21</v>
      </c>
      <c r="H2" s="13" t="s">
        <v>3</v>
      </c>
      <c r="I2" s="5" t="s">
        <v>4</v>
      </c>
      <c r="J2" s="14" t="s">
        <v>5</v>
      </c>
      <c r="K2" s="14" t="s">
        <v>9</v>
      </c>
      <c r="L2" s="14" t="s">
        <v>10</v>
      </c>
      <c r="M2" s="15" t="s">
        <v>21</v>
      </c>
      <c r="N2" s="16" t="s">
        <v>3</v>
      </c>
      <c r="O2" s="14" t="s">
        <v>4</v>
      </c>
      <c r="P2" s="14" t="s">
        <v>5</v>
      </c>
      <c r="Q2" s="14" t="s">
        <v>9</v>
      </c>
      <c r="R2" s="14" t="s">
        <v>10</v>
      </c>
      <c r="S2" s="14" t="s">
        <v>12</v>
      </c>
      <c r="T2" s="6" t="s">
        <v>21</v>
      </c>
    </row>
    <row r="3" spans="1:20" x14ac:dyDescent="0.3">
      <c r="A3" s="28">
        <v>0.05</v>
      </c>
      <c r="B3" s="35">
        <f>'Tabela 1'!E103</f>
        <v>-3.1174576271186441E-4</v>
      </c>
      <c r="C3" s="35">
        <f>'Tabela 1'!F103</f>
        <v>7.5381355932203355E-4</v>
      </c>
      <c r="D3" s="35">
        <f>'Tabela 1'!G103</f>
        <v>9.999999999999989E-7</v>
      </c>
      <c r="E3" s="35">
        <f>'Tabela 1'!H103</f>
        <v>1</v>
      </c>
      <c r="F3" s="35">
        <f>'Tabela 1'!I103</f>
        <v>76.169491525423723</v>
      </c>
      <c r="G3" s="34">
        <f>'Tabela 1'!J103</f>
        <v>59</v>
      </c>
      <c r="H3" s="35">
        <f>'Tabela 1'!K103</f>
        <v>-1.1822413793103446E-4</v>
      </c>
      <c r="I3" s="35">
        <f>'Tabela 1'!L103</f>
        <v>5.9696551724137948E-4</v>
      </c>
      <c r="J3" s="35">
        <f>'Tabela 1'!M103</f>
        <v>7.9310344827586157E-7</v>
      </c>
      <c r="K3" s="35">
        <f>'Tabela 1'!N103</f>
        <v>1</v>
      </c>
      <c r="L3" s="35">
        <f>'Tabela 1'!O103</f>
        <v>65.827586206896555</v>
      </c>
      <c r="M3" s="34">
        <f>'Tabela 1'!P103</f>
        <v>58</v>
      </c>
      <c r="N3" s="35">
        <f>'Tabela 1'!Q103</f>
        <v>4.8451851851851857E-4</v>
      </c>
      <c r="O3" s="35">
        <f>'Tabela 1'!R103</f>
        <v>1.7252222222222222E-3</v>
      </c>
      <c r="P3" s="35">
        <f>'Tabela 1'!S103</f>
        <v>4.6296296296296304E-6</v>
      </c>
      <c r="Q3" s="35">
        <f>'Tabela 1'!T103</f>
        <v>1</v>
      </c>
      <c r="R3" s="35">
        <f>'Tabela 1'!U103</f>
        <v>121.22222222222223</v>
      </c>
      <c r="S3" s="35">
        <f>'Tabela 1'!V103</f>
        <v>121.22222222222223</v>
      </c>
      <c r="T3" s="34">
        <f>'Tabela 1'!W103</f>
        <v>27</v>
      </c>
    </row>
    <row r="4" spans="1:20" x14ac:dyDescent="0.3">
      <c r="A4" s="29">
        <v>0.25</v>
      </c>
      <c r="B4" s="42">
        <f>'Tabela 1'!E204</f>
        <v>-1.030864197530864E-5</v>
      </c>
      <c r="C4" s="42">
        <f>'Tabela 1'!F204</f>
        <v>2.4864197530864205E-5</v>
      </c>
      <c r="D4" s="42">
        <f>'Tabela 1'!G204</f>
        <v>0</v>
      </c>
      <c r="E4" s="42">
        <f>'Tabela 1'!H204</f>
        <v>1</v>
      </c>
      <c r="F4" s="42">
        <f>'Tabela 1'!I204</f>
        <v>17.135802469135804</v>
      </c>
      <c r="G4" s="41">
        <f>'Tabela 1'!J204</f>
        <v>81</v>
      </c>
      <c r="H4" s="42">
        <f>'Tabela 1'!K204</f>
        <v>-2.2300000000000003E-5</v>
      </c>
      <c r="I4" s="42">
        <f>'Tabela 1'!L204</f>
        <v>1.4398571428571425E-4</v>
      </c>
      <c r="J4" s="42">
        <f>'Tabela 1'!M204</f>
        <v>0</v>
      </c>
      <c r="K4" s="42">
        <f>'Tabela 1'!N204</f>
        <v>1</v>
      </c>
      <c r="L4" s="42">
        <f>'Tabela 1'!O204</f>
        <v>26.042857142857144</v>
      </c>
      <c r="M4" s="41">
        <f>'Tabela 1'!P204</f>
        <v>70</v>
      </c>
      <c r="N4" s="42">
        <f>'Tabela 1'!Q204</f>
        <v>5.0241379310344827E-5</v>
      </c>
      <c r="O4" s="42">
        <f>'Tabela 1'!R204</f>
        <v>2.4399999999999999E-4</v>
      </c>
      <c r="P4" s="42">
        <f>'Tabela 1'!S204</f>
        <v>0</v>
      </c>
      <c r="Q4" s="42">
        <f>'Tabela 1'!T204</f>
        <v>1</v>
      </c>
      <c r="R4" s="42">
        <f>'Tabela 1'!U204</f>
        <v>28.517241379310345</v>
      </c>
      <c r="S4" s="42">
        <f>'Tabela 1'!V204</f>
        <v>28.517241379310345</v>
      </c>
      <c r="T4" s="41">
        <f>'Tabela 1'!W204</f>
        <v>29</v>
      </c>
    </row>
    <row r="5" spans="1:20" ht="15" thickBot="1" x14ac:dyDescent="0.35">
      <c r="A5" s="30" t="s">
        <v>13</v>
      </c>
      <c r="B5" s="18">
        <f>'Tabela 1'!E305</f>
        <v>3.9879518072289149E-6</v>
      </c>
      <c r="C5" s="18">
        <f>'Tabela 1'!F305</f>
        <v>3.7349397590361391E-7</v>
      </c>
      <c r="D5" s="18">
        <f>'Tabela 1'!G305</f>
        <v>0</v>
      </c>
      <c r="E5" s="18">
        <f>'Tabela 1'!H305</f>
        <v>437.73493975903614</v>
      </c>
      <c r="F5" s="18">
        <f>'Tabela 1'!I305</f>
        <v>10.759036144578314</v>
      </c>
      <c r="G5" s="17">
        <f>'Tabela 1'!J305</f>
        <v>83</v>
      </c>
      <c r="H5" s="18">
        <f>'Tabela 1'!K305</f>
        <v>-1.9012048192771083E-5</v>
      </c>
      <c r="I5" s="18">
        <f>'Tabela 1'!L305</f>
        <v>5.425301204819277E-5</v>
      </c>
      <c r="J5" s="18">
        <f>'Tabela 1'!M305</f>
        <v>2.1686746987951813E-7</v>
      </c>
      <c r="K5" s="18">
        <f>'Tabela 1'!N305</f>
        <v>494.07228915662648</v>
      </c>
      <c r="L5" s="18">
        <f>'Tabela 1'!O305</f>
        <v>42.807228915662648</v>
      </c>
      <c r="M5" s="17">
        <f>'Tabela 1'!P305</f>
        <v>83</v>
      </c>
      <c r="N5" s="18">
        <f>'Tabela 1'!Q305</f>
        <v>0</v>
      </c>
      <c r="O5" s="18">
        <f>'Tabela 1'!R305</f>
        <v>0</v>
      </c>
      <c r="P5" s="18">
        <f>'Tabela 1'!S305</f>
        <v>0</v>
      </c>
      <c r="Q5" s="18">
        <f>'Tabela 1'!T305</f>
        <v>206.0888888888889</v>
      </c>
      <c r="R5" s="18">
        <f>'Tabela 1'!U305</f>
        <v>3.6888888888888891</v>
      </c>
      <c r="S5" s="18">
        <f>'Tabela 1'!V305</f>
        <v>3.6888888888888891</v>
      </c>
      <c r="T5" s="17">
        <f>'Tabela 1'!W305</f>
        <v>45</v>
      </c>
    </row>
  </sheetData>
  <mergeCells count="4">
    <mergeCell ref="N1:T1"/>
    <mergeCell ref="A1:A2"/>
    <mergeCell ref="B1:G1"/>
    <mergeCell ref="H1:M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47"/>
  <sheetViews>
    <sheetView zoomScale="85" zoomScaleNormal="85" workbookViewId="0">
      <selection activeCell="J27" sqref="J27"/>
    </sheetView>
  </sheetViews>
  <sheetFormatPr defaultRowHeight="14.4" x14ac:dyDescent="0.3"/>
  <cols>
    <col min="1" max="19" width="10.6640625" customWidth="1"/>
  </cols>
  <sheetData>
    <row r="1" spans="1:19" x14ac:dyDescent="0.3">
      <c r="A1" s="83" t="s">
        <v>14</v>
      </c>
      <c r="B1" s="85" t="s">
        <v>6</v>
      </c>
      <c r="C1" s="86"/>
      <c r="D1" s="86"/>
      <c r="E1" s="86"/>
      <c r="F1" s="86"/>
      <c r="G1" s="87"/>
      <c r="H1" s="91" t="s">
        <v>7</v>
      </c>
      <c r="I1" s="86"/>
      <c r="J1" s="86"/>
      <c r="K1" s="86"/>
      <c r="L1" s="86"/>
      <c r="M1" s="92"/>
      <c r="N1" s="85" t="s">
        <v>11</v>
      </c>
      <c r="O1" s="86"/>
      <c r="P1" s="86"/>
      <c r="Q1" s="86"/>
      <c r="R1" s="86"/>
      <c r="S1" s="87"/>
    </row>
    <row r="2" spans="1:19" x14ac:dyDescent="0.3">
      <c r="A2" s="68"/>
      <c r="B2" s="88">
        <v>0.05</v>
      </c>
      <c r="C2" s="89"/>
      <c r="D2" s="89">
        <v>0.25</v>
      </c>
      <c r="E2" s="89"/>
      <c r="F2" s="89" t="s">
        <v>13</v>
      </c>
      <c r="G2" s="90"/>
      <c r="H2" s="93">
        <v>0.05</v>
      </c>
      <c r="I2" s="89"/>
      <c r="J2" s="89">
        <v>0.25</v>
      </c>
      <c r="K2" s="89"/>
      <c r="L2" s="89" t="s">
        <v>13</v>
      </c>
      <c r="M2" s="94"/>
      <c r="N2" s="88">
        <v>0.05</v>
      </c>
      <c r="O2" s="89"/>
      <c r="P2" s="89">
        <v>0.25</v>
      </c>
      <c r="Q2" s="89"/>
      <c r="R2" s="89" t="s">
        <v>13</v>
      </c>
      <c r="S2" s="90"/>
    </row>
    <row r="3" spans="1:19" ht="16.2" thickBot="1" x14ac:dyDescent="0.35">
      <c r="A3" s="84"/>
      <c r="B3" s="16" t="s">
        <v>3</v>
      </c>
      <c r="C3" s="14" t="s">
        <v>4</v>
      </c>
      <c r="D3" s="18" t="s">
        <v>3</v>
      </c>
      <c r="E3" s="14" t="s">
        <v>4</v>
      </c>
      <c r="F3" s="18" t="s">
        <v>3</v>
      </c>
      <c r="G3" s="17" t="s">
        <v>4</v>
      </c>
      <c r="H3" s="18" t="s">
        <v>3</v>
      </c>
      <c r="I3" s="14" t="s">
        <v>4</v>
      </c>
      <c r="J3" s="18" t="s">
        <v>3</v>
      </c>
      <c r="K3" s="14" t="s">
        <v>4</v>
      </c>
      <c r="L3" s="18" t="s">
        <v>3</v>
      </c>
      <c r="M3" s="19" t="s">
        <v>4</v>
      </c>
      <c r="N3" s="16" t="s">
        <v>3</v>
      </c>
      <c r="O3" s="14" t="s">
        <v>4</v>
      </c>
      <c r="P3" s="18" t="s">
        <v>3</v>
      </c>
      <c r="Q3" s="14" t="s">
        <v>4</v>
      </c>
      <c r="R3" s="18" t="s">
        <v>3</v>
      </c>
      <c r="S3" s="17" t="s">
        <v>4</v>
      </c>
    </row>
    <row r="4" spans="1:19" x14ac:dyDescent="0.3">
      <c r="A4" s="21">
        <v>0</v>
      </c>
      <c r="B4">
        <v>2</v>
      </c>
      <c r="C4">
        <v>2</v>
      </c>
      <c r="D4" s="3">
        <v>2</v>
      </c>
      <c r="E4" s="3">
        <v>2</v>
      </c>
      <c r="F4" s="3">
        <v>2</v>
      </c>
      <c r="G4" s="4">
        <v>2</v>
      </c>
      <c r="H4" s="7">
        <v>2</v>
      </c>
      <c r="I4" s="3">
        <v>2</v>
      </c>
      <c r="J4" s="3">
        <v>2</v>
      </c>
      <c r="K4" s="3">
        <v>2</v>
      </c>
      <c r="L4" s="3">
        <v>2</v>
      </c>
      <c r="M4" s="9">
        <v>2</v>
      </c>
      <c r="N4" s="11">
        <v>2</v>
      </c>
      <c r="O4" s="3">
        <v>2</v>
      </c>
      <c r="P4" s="3">
        <v>2</v>
      </c>
      <c r="Q4" s="3">
        <v>2</v>
      </c>
      <c r="R4" s="3">
        <v>2</v>
      </c>
      <c r="S4" s="4">
        <v>2</v>
      </c>
    </row>
    <row r="5" spans="1:19" x14ac:dyDescent="0.3">
      <c r="A5" s="20">
        <v>1</v>
      </c>
      <c r="B5" s="7">
        <v>1.58</v>
      </c>
      <c r="C5" s="3">
        <v>1.7</v>
      </c>
      <c r="D5" s="1">
        <v>-0.1</v>
      </c>
      <c r="E5" s="1">
        <v>0.5</v>
      </c>
      <c r="F5" s="1">
        <v>-0.222219</v>
      </c>
      <c r="G5" s="2">
        <v>0.41270099999999998</v>
      </c>
      <c r="H5" s="8">
        <v>1.58</v>
      </c>
      <c r="I5" s="1">
        <v>1.7</v>
      </c>
      <c r="J5" s="1">
        <v>-0.1</v>
      </c>
      <c r="K5" s="1">
        <v>0.5</v>
      </c>
      <c r="L5" s="1">
        <v>-0.222219</v>
      </c>
      <c r="M5" s="10">
        <v>0.41270099999999998</v>
      </c>
      <c r="N5" s="12">
        <v>1.991843</v>
      </c>
      <c r="O5" s="1">
        <v>1.854079</v>
      </c>
      <c r="P5" s="1">
        <v>1.9592149999999999</v>
      </c>
      <c r="Q5" s="1">
        <v>1.2703930000000001</v>
      </c>
      <c r="R5" s="1">
        <v>1.8349740000000001</v>
      </c>
      <c r="S5" s="2">
        <v>-0.95213800000000004</v>
      </c>
    </row>
    <row r="6" spans="1:19" x14ac:dyDescent="0.3">
      <c r="A6" s="20">
        <v>2</v>
      </c>
      <c r="B6" s="8">
        <v>1.5149760000000001</v>
      </c>
      <c r="C6" s="1">
        <v>1.4510000000000001</v>
      </c>
      <c r="D6" s="1">
        <v>-0.12604699999999999</v>
      </c>
      <c r="E6" s="1">
        <v>0.27500000000000002</v>
      </c>
      <c r="F6" s="1">
        <v>3.5708999999999998E-2</v>
      </c>
      <c r="G6" s="2">
        <v>5.142E-2</v>
      </c>
      <c r="H6" s="8">
        <v>1.410561</v>
      </c>
      <c r="I6" s="1">
        <v>1.3764179999999999</v>
      </c>
      <c r="J6" s="1">
        <v>-0.14222399999999999</v>
      </c>
      <c r="K6" s="1">
        <v>0.26344499999999998</v>
      </c>
      <c r="L6" s="1">
        <v>1.8286E-2</v>
      </c>
      <c r="M6" s="10">
        <v>1.8963000000000001E-2</v>
      </c>
      <c r="N6" s="12">
        <v>1.9838750000000001</v>
      </c>
      <c r="O6" s="1">
        <v>1.7155629999999999</v>
      </c>
      <c r="P6" s="1">
        <v>1.923295</v>
      </c>
      <c r="Q6" s="1">
        <v>0.72585200000000005</v>
      </c>
      <c r="R6" s="1">
        <v>1.7481500000000001</v>
      </c>
      <c r="S6" s="2">
        <v>-0.86686099999999999</v>
      </c>
    </row>
    <row r="7" spans="1:19" x14ac:dyDescent="0.3">
      <c r="A7" s="20">
        <v>3</v>
      </c>
      <c r="B7" s="8">
        <v>1.470599</v>
      </c>
      <c r="C7" s="1">
        <v>1.230151</v>
      </c>
      <c r="D7" s="1">
        <v>-7.0845000000000005E-2</v>
      </c>
      <c r="E7" s="1">
        <v>0.169012</v>
      </c>
      <c r="F7" s="1">
        <v>-9.7660000000000004E-3</v>
      </c>
      <c r="G7" s="2">
        <v>1.8953999999999999E-2</v>
      </c>
      <c r="H7" s="8">
        <v>1.2546809999999999</v>
      </c>
      <c r="I7" s="1">
        <v>0.94840500000000005</v>
      </c>
      <c r="J7" s="1">
        <v>-8.0907999999999994E-2</v>
      </c>
      <c r="K7" s="1">
        <v>9.9824999999999997E-2</v>
      </c>
      <c r="L7" s="1">
        <v>-1.4300000000000001E-3</v>
      </c>
      <c r="M7" s="10">
        <v>2.591E-3</v>
      </c>
      <c r="N7" s="12">
        <v>1.976094</v>
      </c>
      <c r="O7" s="1">
        <v>1.5840780000000001</v>
      </c>
      <c r="P7" s="1">
        <v>1.8920030000000001</v>
      </c>
      <c r="Q7" s="1">
        <v>0.31962400000000002</v>
      </c>
      <c r="R7" s="1">
        <v>1.7475529999999999</v>
      </c>
      <c r="S7" s="2">
        <v>-0.87377700000000003</v>
      </c>
    </row>
    <row r="8" spans="1:19" x14ac:dyDescent="0.3">
      <c r="A8" s="20">
        <v>4</v>
      </c>
      <c r="B8" s="8">
        <v>1.43895</v>
      </c>
      <c r="C8" s="1">
        <v>1.033606</v>
      </c>
      <c r="D8" s="1">
        <v>-4.2625999999999997E-2</v>
      </c>
      <c r="E8" s="1">
        <v>0.102217</v>
      </c>
      <c r="F8" s="1">
        <v>1.8580000000000001E-3</v>
      </c>
      <c r="G8" s="2">
        <v>2.686E-3</v>
      </c>
      <c r="H8" s="8">
        <v>1.124342</v>
      </c>
      <c r="I8" s="1">
        <v>0.54014600000000002</v>
      </c>
      <c r="J8" s="1">
        <v>-8.9560000000000004E-3</v>
      </c>
      <c r="K8" s="1">
        <v>2.5961000000000001E-2</v>
      </c>
      <c r="L8" s="1">
        <v>2.3900000000000001E-4</v>
      </c>
      <c r="M8" s="10">
        <v>3.9199999999999999E-4</v>
      </c>
      <c r="N8" s="12">
        <v>1.9684980000000001</v>
      </c>
      <c r="O8" s="1">
        <v>1.4592700000000001</v>
      </c>
      <c r="P8" s="1">
        <v>1.8650659999999999</v>
      </c>
      <c r="Q8" s="1">
        <v>1.6685999999999999E-2</v>
      </c>
      <c r="R8" s="1">
        <v>1.747552</v>
      </c>
      <c r="S8" s="2">
        <v>-0.873776</v>
      </c>
    </row>
    <row r="9" spans="1:19" x14ac:dyDescent="0.3">
      <c r="A9" s="20">
        <v>5</v>
      </c>
      <c r="B9" s="8">
        <v>1.416706</v>
      </c>
      <c r="C9" s="1">
        <v>0.85829800000000001</v>
      </c>
      <c r="D9" s="1">
        <v>-2.5635999999999999E-2</v>
      </c>
      <c r="E9" s="1">
        <v>6.1765E-2</v>
      </c>
      <c r="F9" s="1">
        <v>-5.1199999999999998E-4</v>
      </c>
      <c r="G9" s="2">
        <v>9.9299999999999996E-4</v>
      </c>
      <c r="H9" s="8">
        <v>1.0117670000000001</v>
      </c>
      <c r="I9" s="1">
        <v>0.21272199999999999</v>
      </c>
      <c r="J9" s="1">
        <v>-4.2789999999999998E-3</v>
      </c>
      <c r="K9" s="1">
        <v>1.2947999999999999E-2</v>
      </c>
      <c r="L9" s="1">
        <v>-1.2E-5</v>
      </c>
      <c r="M9" s="10">
        <v>1.5999999999999999E-5</v>
      </c>
      <c r="N9" s="12">
        <v>1.9610860000000001</v>
      </c>
      <c r="O9" s="1">
        <v>1.3408</v>
      </c>
      <c r="P9" s="1">
        <v>1.842176</v>
      </c>
      <c r="Q9" s="1">
        <v>-0.209174</v>
      </c>
      <c r="R9" s="1"/>
      <c r="S9" s="2"/>
    </row>
    <row r="10" spans="1:19" x14ac:dyDescent="0.3">
      <c r="A10" s="20">
        <v>6</v>
      </c>
      <c r="B10" s="8">
        <v>1.4022209999999999</v>
      </c>
      <c r="C10" s="1">
        <v>0.70163299999999995</v>
      </c>
      <c r="D10" s="1">
        <v>-1.5459000000000001E-2</v>
      </c>
      <c r="E10" s="1">
        <v>3.7290999999999998E-2</v>
      </c>
      <c r="F10" s="1">
        <v>9.7E-5</v>
      </c>
      <c r="G10" s="2">
        <v>1.4100000000000001E-4</v>
      </c>
      <c r="H10" s="8">
        <v>0.90291600000000005</v>
      </c>
      <c r="I10" s="1">
        <v>-3.4669999999999999E-2</v>
      </c>
      <c r="J10" s="1">
        <v>-2.0709999999999999E-3</v>
      </c>
      <c r="K10" s="1">
        <v>4.2979999999999997E-3</v>
      </c>
      <c r="L10" s="1"/>
      <c r="M10" s="10"/>
      <c r="N10" s="12">
        <v>1.953856</v>
      </c>
      <c r="O10" s="1">
        <v>1.228348</v>
      </c>
      <c r="P10" s="1">
        <v>1.8229880000000001</v>
      </c>
      <c r="Q10" s="1">
        <v>-0.377558</v>
      </c>
      <c r="R10" s="1"/>
      <c r="S10" s="2"/>
    </row>
    <row r="11" spans="1:19" x14ac:dyDescent="0.3">
      <c r="A11" s="20">
        <v>7</v>
      </c>
      <c r="B11" s="8">
        <v>1.39463</v>
      </c>
      <c r="C11" s="1">
        <v>0.56135900000000005</v>
      </c>
      <c r="D11" s="1">
        <v>-9.3270000000000002E-3</v>
      </c>
      <c r="E11" s="1">
        <v>2.2509999999999999E-2</v>
      </c>
      <c r="F11" s="1">
        <v>-2.6999999999999999E-5</v>
      </c>
      <c r="G11" s="2">
        <v>5.1999999999999997E-5</v>
      </c>
      <c r="H11" s="8">
        <v>0.78082799999999997</v>
      </c>
      <c r="I11" s="1">
        <v>-0.23047500000000001</v>
      </c>
      <c r="J11" s="1">
        <v>-8.0800000000000002E-4</v>
      </c>
      <c r="K11" s="1">
        <v>1.6230000000000001E-3</v>
      </c>
      <c r="L11" s="1"/>
      <c r="M11" s="2"/>
      <c r="N11" s="8">
        <v>1.9468049999999999</v>
      </c>
      <c r="O11" s="1">
        <v>1.1216090000000001</v>
      </c>
      <c r="P11" s="1">
        <v>1.8071250000000001</v>
      </c>
      <c r="Q11" s="10">
        <v>-0.50311099999999997</v>
      </c>
      <c r="R11" s="1"/>
      <c r="S11" s="2"/>
    </row>
    <row r="12" spans="1:19" x14ac:dyDescent="0.3">
      <c r="A12" s="20">
        <v>8</v>
      </c>
      <c r="B12" s="8">
        <v>1.3934770000000001</v>
      </c>
      <c r="C12" s="1">
        <v>0.43549100000000002</v>
      </c>
      <c r="D12" s="1">
        <v>-5.6280000000000002E-3</v>
      </c>
      <c r="E12" s="1">
        <v>1.3587E-2</v>
      </c>
      <c r="F12" s="1">
        <v>5.0000000000000004E-6</v>
      </c>
      <c r="G12" s="2">
        <v>6.9999999999999999E-6</v>
      </c>
      <c r="H12" s="8">
        <v>0.62366299999999997</v>
      </c>
      <c r="I12" s="1">
        <v>-0.40361799999999998</v>
      </c>
      <c r="J12" s="1">
        <v>-2.22E-4</v>
      </c>
      <c r="K12" s="1">
        <v>6.2299999999999996E-4</v>
      </c>
      <c r="L12" s="1"/>
      <c r="M12" s="2"/>
      <c r="N12" s="8">
        <v>1.9399329999999999</v>
      </c>
      <c r="O12" s="1">
        <v>1.020295</v>
      </c>
      <c r="P12" s="1">
        <v>1.794189</v>
      </c>
      <c r="Q12" s="10">
        <v>-0.59675599999999995</v>
      </c>
      <c r="R12" s="1"/>
      <c r="S12" s="2"/>
    </row>
    <row r="13" spans="1:19" x14ac:dyDescent="0.3">
      <c r="A13" s="20">
        <v>9</v>
      </c>
      <c r="B13" s="8">
        <v>1.3985240000000001</v>
      </c>
      <c r="C13" s="1">
        <v>0.322268</v>
      </c>
      <c r="D13" s="1">
        <v>-3.3969999999999998E-3</v>
      </c>
      <c r="E13" s="1">
        <v>8.201E-3</v>
      </c>
      <c r="F13" s="1"/>
      <c r="G13" s="2"/>
      <c r="H13" s="8">
        <v>0.41953400000000002</v>
      </c>
      <c r="I13" s="1">
        <v>-0.55506100000000003</v>
      </c>
      <c r="N13" s="12">
        <v>1.9332370000000001</v>
      </c>
      <c r="O13" s="1">
        <v>0.92413000000000001</v>
      </c>
      <c r="P13" s="1">
        <v>1.7837780000000001</v>
      </c>
      <c r="Q13" s="10">
        <v>-0.66663499999999998</v>
      </c>
      <c r="R13" s="1"/>
      <c r="S13" s="2"/>
    </row>
    <row r="14" spans="1:19" x14ac:dyDescent="0.3">
      <c r="A14" s="20">
        <v>10</v>
      </c>
      <c r="B14" s="8">
        <v>1.4096280000000001</v>
      </c>
      <c r="C14" s="1">
        <v>0.22011500000000001</v>
      </c>
      <c r="D14" s="1">
        <v>-2.0500000000000002E-3</v>
      </c>
      <c r="E14" s="1">
        <v>4.9500000000000004E-3</v>
      </c>
      <c r="F14" s="1"/>
      <c r="G14" s="2"/>
      <c r="H14" s="8">
        <v>0.20857700000000001</v>
      </c>
      <c r="I14" s="1">
        <v>-0.64640299999999995</v>
      </c>
      <c r="N14" s="12">
        <v>1.926715</v>
      </c>
      <c r="O14" s="1">
        <v>0.83285299999999995</v>
      </c>
      <c r="P14" s="1">
        <v>1.7755000000000001</v>
      </c>
      <c r="Q14" s="10">
        <v>-0.71880900000000003</v>
      </c>
      <c r="R14" s="1"/>
      <c r="S14" s="2"/>
    </row>
    <row r="15" spans="1:19" x14ac:dyDescent="0.3">
      <c r="A15" s="20">
        <v>11</v>
      </c>
      <c r="B15" s="8">
        <v>1.4266209999999999</v>
      </c>
      <c r="C15" s="1">
        <v>0.12762200000000001</v>
      </c>
      <c r="D15" s="1">
        <v>-1.237E-3</v>
      </c>
      <c r="E15" s="1">
        <v>2.9870000000000001E-3</v>
      </c>
      <c r="F15" s="1"/>
      <c r="G15" s="2"/>
      <c r="H15" s="8">
        <v>-1.6990999999999999E-2</v>
      </c>
      <c r="I15" s="1">
        <v>-0.686608</v>
      </c>
      <c r="N15" s="12">
        <v>1.920366</v>
      </c>
      <c r="O15" s="1">
        <v>0.74621700000000002</v>
      </c>
      <c r="P15" s="1">
        <v>1.7689889999999999</v>
      </c>
      <c r="Q15" s="10">
        <v>-0.75778900000000005</v>
      </c>
      <c r="R15" s="1"/>
      <c r="S15" s="2"/>
    </row>
    <row r="16" spans="1:19" x14ac:dyDescent="0.3">
      <c r="A16" s="20">
        <v>12</v>
      </c>
      <c r="B16" s="8">
        <v>1.4491860000000001</v>
      </c>
      <c r="C16" s="1">
        <v>4.3528999999999998E-2</v>
      </c>
      <c r="D16" s="1">
        <v>-7.4700000000000005E-4</v>
      </c>
      <c r="E16" s="1">
        <v>1.8029999999999999E-3</v>
      </c>
      <c r="F16" s="1"/>
      <c r="G16" s="2"/>
      <c r="H16" s="8">
        <v>-0.45032299999999997</v>
      </c>
      <c r="I16" s="1">
        <v>-0.70106000000000002</v>
      </c>
      <c r="N16" s="12">
        <v>1.9141859999999999</v>
      </c>
      <c r="O16" s="1">
        <v>0.66398699999999999</v>
      </c>
      <c r="P16" s="1">
        <v>1.763916</v>
      </c>
      <c r="Q16" s="10">
        <v>-0.78692899999999999</v>
      </c>
      <c r="R16" s="1"/>
      <c r="S16" s="2"/>
    </row>
    <row r="17" spans="1:19" x14ac:dyDescent="0.3">
      <c r="A17" s="20">
        <v>13</v>
      </c>
      <c r="B17" s="8">
        <v>1.476718</v>
      </c>
      <c r="C17" s="1">
        <v>-3.3283E-2</v>
      </c>
      <c r="D17" s="1">
        <v>-4.5100000000000001E-4</v>
      </c>
      <c r="E17" s="1">
        <v>1.088E-3</v>
      </c>
      <c r="F17" s="1"/>
      <c r="G17" s="2"/>
      <c r="H17" s="8">
        <v>-1.728939</v>
      </c>
      <c r="I17" s="1">
        <v>-0.65464299999999997</v>
      </c>
      <c r="N17" s="12">
        <v>1.908174</v>
      </c>
      <c r="O17" s="1">
        <v>0.58593899999999999</v>
      </c>
      <c r="P17" s="1">
        <v>1.759995</v>
      </c>
      <c r="Q17" s="10">
        <v>-0.80872599999999994</v>
      </c>
      <c r="R17" s="1"/>
      <c r="S17" s="2"/>
    </row>
    <row r="18" spans="1:19" x14ac:dyDescent="0.3">
      <c r="A18" s="20">
        <v>14</v>
      </c>
      <c r="B18" s="8">
        <v>1.5081739999999999</v>
      </c>
      <c r="C18" s="1">
        <v>-0.10379099999999999</v>
      </c>
      <c r="D18">
        <v>-2.72E-4</v>
      </c>
      <c r="E18">
        <v>6.5700000000000003E-4</v>
      </c>
      <c r="F18" s="1"/>
      <c r="G18" s="2"/>
      <c r="H18" s="8">
        <v>-3.414193</v>
      </c>
      <c r="I18" s="1">
        <v>-0.43917</v>
      </c>
      <c r="N18" s="12">
        <v>1.902328</v>
      </c>
      <c r="O18" s="1">
        <v>0.51186100000000001</v>
      </c>
      <c r="P18" s="1">
        <v>1.7569840000000001</v>
      </c>
      <c r="Q18" s="10">
        <v>-0.82503800000000005</v>
      </c>
      <c r="R18" s="1"/>
      <c r="S18" s="2"/>
    </row>
    <row r="19" spans="1:19" x14ac:dyDescent="0.3">
      <c r="A19" s="20">
        <v>15</v>
      </c>
      <c r="B19" s="8">
        <v>1.5419830000000001</v>
      </c>
      <c r="C19" s="1">
        <v>-0.16882</v>
      </c>
      <c r="D19">
        <v>-1.64E-4</v>
      </c>
      <c r="E19">
        <v>3.9599999999999998E-4</v>
      </c>
      <c r="F19" s="1"/>
      <c r="G19" s="2"/>
      <c r="H19">
        <v>-14856.973575</v>
      </c>
      <c r="I19">
        <v>1900.905342</v>
      </c>
      <c r="N19" s="12">
        <v>1.8966460000000001</v>
      </c>
      <c r="O19" s="1">
        <v>0.44155100000000003</v>
      </c>
      <c r="P19" s="1">
        <v>1.7546839999999999</v>
      </c>
      <c r="Q19" s="10">
        <v>-0.837252</v>
      </c>
      <c r="R19" s="1"/>
      <c r="S19" s="2"/>
    </row>
    <row r="20" spans="1:19" x14ac:dyDescent="0.3">
      <c r="A20" s="20">
        <v>16</v>
      </c>
      <c r="B20" s="8">
        <v>1.5760879999999999</v>
      </c>
      <c r="C20" s="1">
        <v>-0.22903699999999999</v>
      </c>
      <c r="D20">
        <v>-9.8999999999999994E-5</v>
      </c>
      <c r="E20">
        <v>2.3900000000000001E-4</v>
      </c>
      <c r="F20" s="1"/>
      <c r="G20" s="2"/>
      <c r="N20" s="12">
        <v>1.8911249999999999</v>
      </c>
      <c r="O20" s="1">
        <v>0.37481799999999998</v>
      </c>
      <c r="P20" s="1">
        <v>1.752934</v>
      </c>
      <c r="Q20" s="10">
        <v>-0.84639900000000001</v>
      </c>
      <c r="R20" s="1"/>
      <c r="S20" s="2"/>
    </row>
    <row r="21" spans="1:19" x14ac:dyDescent="0.3">
      <c r="A21" s="20">
        <v>17</v>
      </c>
      <c r="B21" s="8">
        <v>1.6082259999999999</v>
      </c>
      <c r="C21" s="1">
        <v>-0.28493800000000002</v>
      </c>
      <c r="D21">
        <v>-6.0000000000000002E-5</v>
      </c>
      <c r="E21">
        <v>1.44E-4</v>
      </c>
      <c r="F21" s="1"/>
      <c r="G21" s="2"/>
      <c r="N21" s="12">
        <v>1.8857630000000001</v>
      </c>
      <c r="O21" s="1">
        <v>0.31147900000000001</v>
      </c>
      <c r="P21" s="1">
        <v>1.7516080000000001</v>
      </c>
      <c r="Q21" s="10">
        <v>-0.85325300000000004</v>
      </c>
      <c r="R21" s="1"/>
      <c r="S21" s="2"/>
    </row>
    <row r="22" spans="1:19" x14ac:dyDescent="0.3">
      <c r="A22" s="20">
        <v>18</v>
      </c>
      <c r="B22" s="8">
        <v>1.6364179999999999</v>
      </c>
      <c r="C22" s="1">
        <v>-0.33685599999999999</v>
      </c>
      <c r="D22">
        <v>-3.6000000000000001E-5</v>
      </c>
      <c r="E22">
        <v>8.7000000000000001E-5</v>
      </c>
      <c r="F22" s="1"/>
      <c r="G22" s="2"/>
      <c r="N22" s="12">
        <v>1.880558</v>
      </c>
      <c r="O22" s="1">
        <v>0.25136399999999998</v>
      </c>
      <c r="P22" s="1">
        <v>1.750605</v>
      </c>
      <c r="Q22" s="10">
        <v>-0.85838899999999996</v>
      </c>
      <c r="R22" s="1"/>
      <c r="S22" s="2"/>
    </row>
    <row r="23" spans="1:19" x14ac:dyDescent="0.3">
      <c r="A23" s="20">
        <v>19</v>
      </c>
      <c r="B23" s="8">
        <v>1.6594850000000001</v>
      </c>
      <c r="C23" s="1">
        <v>-0.38499100000000003</v>
      </c>
      <c r="F23" s="1"/>
      <c r="G23" s="2"/>
      <c r="N23" s="12">
        <v>1.875507</v>
      </c>
      <c r="O23" s="1">
        <v>0.19430700000000001</v>
      </c>
      <c r="P23" s="1">
        <v>1.7498480000000001</v>
      </c>
      <c r="Q23" s="10">
        <v>-0.86223899999999998</v>
      </c>
      <c r="R23" s="1"/>
      <c r="S23" s="2"/>
    </row>
    <row r="24" spans="1:19" x14ac:dyDescent="0.3">
      <c r="A24" s="20">
        <v>20</v>
      </c>
      <c r="B24" s="8">
        <v>1.6772769999999999</v>
      </c>
      <c r="C24" s="1">
        <v>-0.42946600000000001</v>
      </c>
      <c r="F24" s="1"/>
      <c r="G24" s="2"/>
      <c r="N24" s="12">
        <v>1.870608</v>
      </c>
      <c r="O24" s="1">
        <v>0.140154</v>
      </c>
      <c r="P24" s="1">
        <v>1.7492780000000001</v>
      </c>
      <c r="Q24" s="10">
        <v>-0.86512500000000003</v>
      </c>
      <c r="R24" s="1"/>
      <c r="S24" s="2"/>
    </row>
    <row r="25" spans="1:19" x14ac:dyDescent="0.3">
      <c r="A25" s="20">
        <v>21</v>
      </c>
      <c r="B25" s="8">
        <v>1.6904699999999999</v>
      </c>
      <c r="C25" s="1">
        <v>-0.470383</v>
      </c>
      <c r="F25" s="1"/>
      <c r="G25" s="2"/>
      <c r="N25" s="12">
        <v>1.865858</v>
      </c>
      <c r="O25" s="1">
        <v>8.8756000000000002E-2</v>
      </c>
      <c r="P25" s="1">
        <v>1.748848</v>
      </c>
      <c r="Q25" s="10">
        <v>-0.86728899999999998</v>
      </c>
      <c r="R25" s="1"/>
      <c r="S25" s="2"/>
    </row>
    <row r="26" spans="1:19" x14ac:dyDescent="0.3">
      <c r="A26" s="20">
        <v>22</v>
      </c>
      <c r="B26" s="8">
        <v>1.7001189999999999</v>
      </c>
      <c r="C26" s="1">
        <v>-0.50786900000000001</v>
      </c>
      <c r="F26" s="1"/>
      <c r="G26" s="2"/>
      <c r="N26" s="12">
        <v>1.861256</v>
      </c>
      <c r="O26" s="1">
        <v>3.9973000000000002E-2</v>
      </c>
      <c r="P26" s="1">
        <v>1.7485250000000001</v>
      </c>
      <c r="Q26" s="10">
        <v>-0.86891099999999999</v>
      </c>
      <c r="R26" s="1"/>
      <c r="S26" s="2"/>
    </row>
    <row r="27" spans="1:19" x14ac:dyDescent="0.3">
      <c r="A27" s="20">
        <v>23</v>
      </c>
      <c r="B27" s="8">
        <v>1.7072579999999999</v>
      </c>
      <c r="C27" s="1">
        <v>-0.54208800000000001</v>
      </c>
      <c r="F27" s="1"/>
      <c r="G27" s="2"/>
      <c r="N27" s="12">
        <v>1.856797</v>
      </c>
      <c r="O27" s="1">
        <v>-6.3280000000000003E-3</v>
      </c>
      <c r="P27" s="1">
        <v>1.748283</v>
      </c>
      <c r="Q27" s="10">
        <v>-0.87012800000000001</v>
      </c>
      <c r="R27" s="1"/>
      <c r="S27" s="2"/>
    </row>
    <row r="28" spans="1:19" x14ac:dyDescent="0.3">
      <c r="A28" s="20">
        <v>24</v>
      </c>
      <c r="B28" s="8">
        <v>1.712699</v>
      </c>
      <c r="C28" s="1">
        <v>-0.57324200000000003</v>
      </c>
      <c r="F28" s="1"/>
      <c r="G28" s="2"/>
      <c r="N28" s="12">
        <v>1.852481</v>
      </c>
      <c r="O28" s="1">
        <v>-5.0272999999999998E-2</v>
      </c>
      <c r="P28" s="1">
        <v>1.7481009999999999</v>
      </c>
      <c r="Q28" s="10">
        <v>-0.87104000000000004</v>
      </c>
      <c r="R28" s="1"/>
      <c r="S28" s="2"/>
    </row>
    <row r="29" spans="1:19" x14ac:dyDescent="0.3">
      <c r="A29" s="20">
        <v>25</v>
      </c>
      <c r="B29" s="8">
        <v>1.7170019999999999</v>
      </c>
      <c r="C29" s="1">
        <v>-0.601553</v>
      </c>
      <c r="N29" s="12">
        <v>1.848303</v>
      </c>
      <c r="O29" s="1">
        <v>-9.1982999999999995E-2</v>
      </c>
      <c r="P29">
        <v>1.7479640000000001</v>
      </c>
      <c r="Q29">
        <v>-0.87172400000000005</v>
      </c>
      <c r="R29" s="1"/>
      <c r="S29" s="2"/>
    </row>
    <row r="30" spans="1:19" x14ac:dyDescent="0.3">
      <c r="A30" s="20">
        <v>26</v>
      </c>
      <c r="B30" s="8">
        <v>1.720529</v>
      </c>
      <c r="C30" s="1">
        <v>-0.627247</v>
      </c>
      <c r="N30" s="12">
        <v>1.8442620000000001</v>
      </c>
      <c r="O30" s="1">
        <v>-0.13157099999999999</v>
      </c>
      <c r="P30">
        <v>1.7478610000000001</v>
      </c>
      <c r="Q30">
        <v>-0.87223700000000004</v>
      </c>
      <c r="R30" s="1"/>
      <c r="S30" s="2"/>
    </row>
    <row r="31" spans="1:19" x14ac:dyDescent="0.3">
      <c r="A31" s="20">
        <v>27</v>
      </c>
      <c r="B31" s="8">
        <v>1.7235050000000001</v>
      </c>
      <c r="C31" s="1">
        <v>-0.65054900000000004</v>
      </c>
      <c r="N31" s="12">
        <v>1.840355</v>
      </c>
      <c r="O31" s="1">
        <v>-0.16914499999999999</v>
      </c>
      <c r="P31">
        <v>1.747784</v>
      </c>
      <c r="Q31">
        <v>-0.87262200000000001</v>
      </c>
      <c r="R31" s="1"/>
      <c r="S31" s="2"/>
    </row>
    <row r="32" spans="1:19" x14ac:dyDescent="0.3">
      <c r="A32" s="20">
        <v>28</v>
      </c>
      <c r="B32" s="8">
        <v>1.7260679999999999</v>
      </c>
      <c r="C32" s="1">
        <v>-0.67166899999999996</v>
      </c>
      <c r="N32" s="12">
        <v>1.836578</v>
      </c>
      <c r="O32" s="1">
        <v>-0.20480899999999999</v>
      </c>
      <c r="P32">
        <v>1.7477259999999999</v>
      </c>
      <c r="Q32">
        <v>-0.87291099999999999</v>
      </c>
      <c r="R32" s="1"/>
      <c r="S32" s="2"/>
    </row>
    <row r="33" spans="1:19" x14ac:dyDescent="0.3">
      <c r="A33" s="20">
        <v>29</v>
      </c>
      <c r="B33" s="8">
        <v>1.728307</v>
      </c>
      <c r="C33" s="1">
        <v>-0.69080600000000003</v>
      </c>
      <c r="N33" s="12">
        <v>1.8329299999999999</v>
      </c>
      <c r="O33" s="1">
        <v>-0.23865900000000001</v>
      </c>
      <c r="P33">
        <v>1.7476830000000001</v>
      </c>
      <c r="Q33">
        <v>-0.87312699999999999</v>
      </c>
      <c r="R33" s="1"/>
      <c r="S33" s="2"/>
    </row>
    <row r="34" spans="1:19" x14ac:dyDescent="0.3">
      <c r="A34" s="20">
        <v>30</v>
      </c>
      <c r="B34" s="8">
        <v>1.7302820000000001</v>
      </c>
      <c r="C34" s="1">
        <v>-0.70814100000000002</v>
      </c>
      <c r="N34" s="12">
        <v>1.8294079999999999</v>
      </c>
      <c r="O34" s="1">
        <v>-0.27078799999999997</v>
      </c>
      <c r="P34">
        <v>1.7476499999999999</v>
      </c>
      <c r="Q34">
        <v>-0.87328899999999998</v>
      </c>
      <c r="R34" s="1"/>
      <c r="S34" s="2"/>
    </row>
    <row r="35" spans="1:19" x14ac:dyDescent="0.3">
      <c r="A35" s="20">
        <v>31</v>
      </c>
      <c r="B35" s="8">
        <v>1.7320340000000001</v>
      </c>
      <c r="C35" s="1">
        <v>-0.72384099999999996</v>
      </c>
      <c r="N35" s="12">
        <v>1.8260080000000001</v>
      </c>
      <c r="O35" s="1">
        <v>-0.30128300000000002</v>
      </c>
      <c r="P35">
        <v>1.7476259999999999</v>
      </c>
      <c r="Q35">
        <v>-0.87341100000000005</v>
      </c>
      <c r="R35" s="1"/>
      <c r="S35" s="2"/>
    </row>
    <row r="36" spans="1:19" x14ac:dyDescent="0.3">
      <c r="A36" s="20">
        <v>32</v>
      </c>
      <c r="B36" s="8">
        <v>1.7335940000000001</v>
      </c>
      <c r="C36" s="1">
        <v>-0.73805799999999999</v>
      </c>
      <c r="N36" s="12">
        <v>1.822727</v>
      </c>
      <c r="O36" s="1">
        <v>-0.33022899999999999</v>
      </c>
      <c r="P36">
        <v>1.7476069999999999</v>
      </c>
      <c r="Q36">
        <v>-0.873502</v>
      </c>
      <c r="R36" s="1"/>
      <c r="S36" s="2"/>
    </row>
    <row r="37" spans="1:19" x14ac:dyDescent="0.3">
      <c r="A37" s="20">
        <v>33</v>
      </c>
      <c r="B37" s="8">
        <v>1.734988</v>
      </c>
      <c r="C37" s="1">
        <v>-0.75093200000000004</v>
      </c>
      <c r="N37" s="12">
        <v>1.819564</v>
      </c>
      <c r="O37" s="1">
        <v>-0.35770400000000002</v>
      </c>
      <c r="R37" s="1"/>
      <c r="S37" s="2"/>
    </row>
    <row r="38" spans="1:19" x14ac:dyDescent="0.3">
      <c r="A38" s="20">
        <v>34</v>
      </c>
      <c r="B38" s="8">
        <v>1.7362359999999999</v>
      </c>
      <c r="C38" s="1">
        <v>-0.76258800000000004</v>
      </c>
      <c r="N38" s="12">
        <v>1.8165150000000001</v>
      </c>
      <c r="O38" s="1">
        <v>-0.38378299999999999</v>
      </c>
      <c r="R38" s="1"/>
      <c r="S38" s="2"/>
    </row>
    <row r="39" spans="1:19" x14ac:dyDescent="0.3">
      <c r="A39" s="20">
        <v>35</v>
      </c>
      <c r="B39" s="8">
        <v>1.7373540000000001</v>
      </c>
      <c r="C39" s="1">
        <v>-0.77314099999999997</v>
      </c>
      <c r="N39" s="12">
        <v>1.813577</v>
      </c>
      <c r="O39" s="1">
        <v>-0.40853800000000001</v>
      </c>
      <c r="R39" s="1"/>
      <c r="S39" s="2"/>
    </row>
    <row r="40" spans="1:19" x14ac:dyDescent="0.3">
      <c r="A40" s="20">
        <v>36</v>
      </c>
      <c r="B40" s="8">
        <v>1.7383580000000001</v>
      </c>
      <c r="C40" s="1">
        <v>-0.78269500000000003</v>
      </c>
      <c r="N40" s="12">
        <v>1.8107470000000001</v>
      </c>
      <c r="O40" s="1">
        <v>-0.43203599999999998</v>
      </c>
      <c r="R40" s="1"/>
      <c r="S40" s="2"/>
    </row>
    <row r="41" spans="1:19" x14ac:dyDescent="0.3">
      <c r="A41" s="20">
        <v>37</v>
      </c>
      <c r="B41" s="8">
        <v>1.7392590000000001</v>
      </c>
      <c r="C41" s="1">
        <v>-0.79134300000000002</v>
      </c>
      <c r="N41" s="12">
        <v>1.8080229999999999</v>
      </c>
      <c r="O41" s="1">
        <v>-0.45434099999999999</v>
      </c>
      <c r="R41" s="1"/>
      <c r="S41" s="2"/>
    </row>
    <row r="42" spans="1:19" x14ac:dyDescent="0.3">
      <c r="A42" s="20">
        <v>38</v>
      </c>
      <c r="B42" s="8">
        <v>1.74007</v>
      </c>
      <c r="C42" s="1">
        <v>-0.79917199999999999</v>
      </c>
      <c r="N42" s="12">
        <v>1.805402</v>
      </c>
      <c r="O42" s="1">
        <v>-0.47551399999999999</v>
      </c>
      <c r="R42" s="1"/>
      <c r="S42" s="2"/>
    </row>
    <row r="43" spans="1:19" x14ac:dyDescent="0.3">
      <c r="A43" s="20">
        <v>39</v>
      </c>
      <c r="B43" s="8">
        <v>1.740799</v>
      </c>
      <c r="C43" s="1">
        <v>-0.80625800000000003</v>
      </c>
      <c r="N43" s="12">
        <v>1.80288</v>
      </c>
      <c r="O43" s="1">
        <v>-0.495612</v>
      </c>
      <c r="R43" s="1"/>
      <c r="S43" s="2"/>
    </row>
    <row r="44" spans="1:19" x14ac:dyDescent="0.3">
      <c r="A44" s="20">
        <v>40</v>
      </c>
      <c r="B44" s="8">
        <v>1.7414559999999999</v>
      </c>
      <c r="C44" s="1">
        <v>-0.81267199999999995</v>
      </c>
      <c r="N44" s="12">
        <v>1.8004560000000001</v>
      </c>
      <c r="O44" s="1">
        <v>-0.51469200000000004</v>
      </c>
      <c r="R44" s="1"/>
      <c r="S44" s="2"/>
    </row>
    <row r="45" spans="1:19" x14ac:dyDescent="0.3">
      <c r="A45" s="20">
        <v>41</v>
      </c>
      <c r="B45" s="8">
        <v>1.7420469999999999</v>
      </c>
      <c r="C45" s="1">
        <v>-0.81847800000000004</v>
      </c>
      <c r="N45" s="12">
        <v>1.7981259999999999</v>
      </c>
      <c r="O45" s="1">
        <v>-0.53280300000000003</v>
      </c>
      <c r="R45" s="1"/>
      <c r="S45" s="2"/>
    </row>
    <row r="46" spans="1:19" x14ac:dyDescent="0.3">
      <c r="A46" s="20">
        <v>42</v>
      </c>
      <c r="B46" s="8">
        <v>1.74258</v>
      </c>
      <c r="C46" s="1">
        <v>-0.82373200000000002</v>
      </c>
      <c r="N46" s="12">
        <v>1.795887</v>
      </c>
      <c r="O46" s="1">
        <v>-0.54999699999999996</v>
      </c>
      <c r="R46" s="1"/>
      <c r="S46" s="2"/>
    </row>
    <row r="47" spans="1:19" x14ac:dyDescent="0.3">
      <c r="A47" s="20">
        <v>43</v>
      </c>
      <c r="B47" s="8">
        <v>1.743061</v>
      </c>
      <c r="C47" s="1">
        <v>-0.828488</v>
      </c>
      <c r="N47" s="12">
        <v>1.7937369999999999</v>
      </c>
      <c r="O47" s="1">
        <v>-0.56631900000000002</v>
      </c>
      <c r="R47" s="1"/>
      <c r="S47" s="2"/>
    </row>
    <row r="48" spans="1:19" x14ac:dyDescent="0.3">
      <c r="A48" s="20">
        <v>44</v>
      </c>
      <c r="B48" s="8">
        <v>1.7434940000000001</v>
      </c>
      <c r="C48" s="1">
        <v>-0.83279199999999998</v>
      </c>
      <c r="N48" s="12">
        <v>1.7916730000000001</v>
      </c>
      <c r="O48" s="1">
        <v>-0.58181499999999997</v>
      </c>
      <c r="R48" s="1"/>
      <c r="S48" s="2"/>
    </row>
    <row r="49" spans="1:19" x14ac:dyDescent="0.3">
      <c r="A49" s="20">
        <v>45</v>
      </c>
      <c r="B49" s="8">
        <v>1.7438849999999999</v>
      </c>
      <c r="C49" s="1">
        <v>-0.83668799999999999</v>
      </c>
      <c r="N49" s="12">
        <v>1.7896920000000001</v>
      </c>
      <c r="O49" s="1">
        <v>-0.59652499999999997</v>
      </c>
      <c r="R49" s="1"/>
      <c r="S49" s="2"/>
    </row>
    <row r="50" spans="1:19" x14ac:dyDescent="0.3">
      <c r="A50" s="20">
        <v>46</v>
      </c>
      <c r="B50" s="8">
        <v>1.744238</v>
      </c>
      <c r="C50" s="1">
        <v>-0.84021299999999999</v>
      </c>
      <c r="N50" s="12">
        <v>1.787792</v>
      </c>
      <c r="O50" s="1">
        <v>-0.61049100000000001</v>
      </c>
      <c r="R50" s="1"/>
      <c r="S50" s="2"/>
    </row>
    <row r="51" spans="1:19" x14ac:dyDescent="0.3">
      <c r="A51" s="20">
        <v>47</v>
      </c>
      <c r="B51" s="8">
        <v>1.7445569999999999</v>
      </c>
      <c r="C51" s="1">
        <v>-0.84340400000000004</v>
      </c>
      <c r="N51" s="12">
        <v>1.7859700000000001</v>
      </c>
      <c r="O51" s="1">
        <v>-0.62375000000000003</v>
      </c>
      <c r="R51" s="1"/>
      <c r="S51" s="2"/>
    </row>
    <row r="52" spans="1:19" x14ac:dyDescent="0.3">
      <c r="A52" s="20">
        <v>48</v>
      </c>
      <c r="B52" s="8">
        <v>1.7448440000000001</v>
      </c>
      <c r="C52" s="1">
        <v>-0.84629100000000002</v>
      </c>
      <c r="N52" s="12">
        <v>1.7842229999999999</v>
      </c>
      <c r="O52" s="1">
        <v>-0.63633899999999999</v>
      </c>
      <c r="R52" s="1"/>
      <c r="S52" s="2"/>
    </row>
    <row r="53" spans="1:19" x14ac:dyDescent="0.3">
      <c r="A53" s="20">
        <v>49</v>
      </c>
      <c r="B53" s="8">
        <v>1.745104</v>
      </c>
      <c r="C53" s="1">
        <v>-0.84890399999999999</v>
      </c>
      <c r="N53" s="12">
        <v>1.7825489999999999</v>
      </c>
      <c r="O53" s="1">
        <v>-0.64829000000000003</v>
      </c>
      <c r="R53" s="1"/>
      <c r="S53" s="2"/>
    </row>
    <row r="54" spans="1:19" x14ac:dyDescent="0.3">
      <c r="A54" s="20">
        <v>50</v>
      </c>
      <c r="B54" s="8">
        <v>1.745339</v>
      </c>
      <c r="C54" s="1">
        <v>-0.85126900000000005</v>
      </c>
      <c r="N54" s="12">
        <v>1.780945</v>
      </c>
      <c r="O54" s="1">
        <v>-0.65963700000000003</v>
      </c>
      <c r="R54" s="1"/>
      <c r="S54" s="2"/>
    </row>
    <row r="55" spans="1:19" x14ac:dyDescent="0.3">
      <c r="A55" s="20">
        <v>51</v>
      </c>
      <c r="B55" s="8">
        <v>1.7455510000000001</v>
      </c>
      <c r="C55" s="1">
        <v>-0.85340899999999997</v>
      </c>
      <c r="N55" s="12">
        <v>1.779409</v>
      </c>
      <c r="O55" s="1">
        <v>-0.67041099999999998</v>
      </c>
      <c r="R55" s="1"/>
      <c r="S55" s="2"/>
    </row>
    <row r="56" spans="1:19" x14ac:dyDescent="0.3">
      <c r="A56" s="20">
        <v>52</v>
      </c>
      <c r="B56" s="8">
        <v>1.7457419999999999</v>
      </c>
      <c r="C56" s="1">
        <v>-0.85534600000000005</v>
      </c>
      <c r="N56" s="12">
        <v>1.777938</v>
      </c>
      <c r="O56" s="1">
        <v>-0.68064000000000002</v>
      </c>
      <c r="R56" s="1"/>
      <c r="S56" s="2"/>
    </row>
    <row r="57" spans="1:19" x14ac:dyDescent="0.3">
      <c r="A57" s="20">
        <v>53</v>
      </c>
      <c r="B57" s="8">
        <v>1.745916</v>
      </c>
      <c r="C57" s="1">
        <v>-0.85709800000000003</v>
      </c>
      <c r="N57" s="12">
        <v>1.7765299999999999</v>
      </c>
      <c r="O57" s="1">
        <v>-0.69035299999999999</v>
      </c>
      <c r="R57" s="1"/>
      <c r="S57" s="2"/>
    </row>
    <row r="58" spans="1:19" x14ac:dyDescent="0.3">
      <c r="A58" s="20">
        <v>54</v>
      </c>
      <c r="B58" s="8">
        <v>1.7460720000000001</v>
      </c>
      <c r="C58" s="1">
        <v>-0.858684</v>
      </c>
      <c r="N58" s="12">
        <v>1.775183</v>
      </c>
      <c r="O58" s="1">
        <v>-0.69957499999999995</v>
      </c>
      <c r="R58" s="1"/>
      <c r="S58" s="2"/>
    </row>
    <row r="59" spans="1:19" x14ac:dyDescent="0.3">
      <c r="A59" s="20">
        <v>55</v>
      </c>
      <c r="B59" s="8">
        <v>1.7462139999999999</v>
      </c>
      <c r="C59" s="1">
        <v>-0.86012</v>
      </c>
      <c r="N59" s="12">
        <v>1.773895</v>
      </c>
      <c r="O59" s="1">
        <v>-0.70833199999999996</v>
      </c>
      <c r="R59" s="1"/>
      <c r="S59" s="2"/>
    </row>
    <row r="60" spans="1:19" x14ac:dyDescent="0.3">
      <c r="A60" s="20">
        <v>56</v>
      </c>
      <c r="B60" s="8">
        <v>1.7463409999999999</v>
      </c>
      <c r="C60" s="1">
        <v>-0.86141800000000002</v>
      </c>
      <c r="N60" s="12">
        <v>1.7726630000000001</v>
      </c>
      <c r="O60" s="1">
        <v>-0.71664700000000003</v>
      </c>
    </row>
    <row r="61" spans="1:19" x14ac:dyDescent="0.3">
      <c r="A61" s="20">
        <v>57</v>
      </c>
      <c r="B61" s="8">
        <v>1.7464569999999999</v>
      </c>
      <c r="C61" s="1">
        <v>-0.86259300000000005</v>
      </c>
      <c r="N61" s="12">
        <v>1.771485</v>
      </c>
      <c r="O61" s="1">
        <v>-0.72454200000000002</v>
      </c>
    </row>
    <row r="62" spans="1:19" x14ac:dyDescent="0.3">
      <c r="A62" s="20">
        <v>58</v>
      </c>
      <c r="B62" s="8">
        <v>1.7465619999999999</v>
      </c>
      <c r="C62" s="1">
        <v>-0.86365700000000001</v>
      </c>
      <c r="N62" s="12">
        <v>1.770359</v>
      </c>
      <c r="O62" s="1">
        <v>-0.732039</v>
      </c>
    </row>
    <row r="63" spans="1:19" x14ac:dyDescent="0.3">
      <c r="A63" s="20">
        <v>59</v>
      </c>
      <c r="B63" s="8">
        <v>1.746656</v>
      </c>
      <c r="C63" s="1">
        <v>-0.86461900000000003</v>
      </c>
      <c r="N63" s="12">
        <v>1.7692829999999999</v>
      </c>
      <c r="O63" s="1">
        <v>-0.73915799999999998</v>
      </c>
    </row>
    <row r="64" spans="1:19" x14ac:dyDescent="0.3">
      <c r="A64" s="20">
        <v>60</v>
      </c>
      <c r="B64">
        <v>1.746742</v>
      </c>
      <c r="C64">
        <v>-0.86548999999999998</v>
      </c>
      <c r="N64" s="12">
        <v>1.768256</v>
      </c>
      <c r="O64" s="1">
        <v>-0.74591799999999997</v>
      </c>
    </row>
    <row r="65" spans="1:15" x14ac:dyDescent="0.3">
      <c r="A65" s="20">
        <v>61</v>
      </c>
      <c r="B65">
        <v>1.7468189999999999</v>
      </c>
      <c r="C65">
        <v>-0.86627799999999999</v>
      </c>
      <c r="N65" s="12">
        <v>1.767274</v>
      </c>
      <c r="O65" s="1">
        <v>-0.75233799999999995</v>
      </c>
    </row>
    <row r="66" spans="1:15" x14ac:dyDescent="0.3">
      <c r="A66" s="20">
        <v>62</v>
      </c>
      <c r="B66">
        <v>1.7468889999999999</v>
      </c>
      <c r="C66">
        <v>-0.86699099999999996</v>
      </c>
      <c r="N66" s="12">
        <v>1.766337</v>
      </c>
      <c r="O66" s="1">
        <v>-0.75843400000000005</v>
      </c>
    </row>
    <row r="67" spans="1:15" x14ac:dyDescent="0.3">
      <c r="A67" s="20">
        <v>63</v>
      </c>
      <c r="B67">
        <v>1.7469520000000001</v>
      </c>
      <c r="C67">
        <v>-0.86763699999999999</v>
      </c>
      <c r="N67" s="12">
        <v>1.765442</v>
      </c>
      <c r="O67" s="1">
        <v>-0.76422400000000001</v>
      </c>
    </row>
    <row r="68" spans="1:15" x14ac:dyDescent="0.3">
      <c r="A68" s="20">
        <v>64</v>
      </c>
      <c r="B68">
        <v>1.747009</v>
      </c>
      <c r="C68">
        <v>-0.86822100000000002</v>
      </c>
      <c r="N68" s="12">
        <v>1.764588</v>
      </c>
      <c r="O68" s="1">
        <v>-0.76972099999999999</v>
      </c>
    </row>
    <row r="69" spans="1:15" x14ac:dyDescent="0.3">
      <c r="A69" s="20">
        <v>65</v>
      </c>
      <c r="B69">
        <v>1.747061</v>
      </c>
      <c r="C69">
        <v>-0.86874899999999999</v>
      </c>
      <c r="N69" s="12">
        <v>1.763773</v>
      </c>
      <c r="O69" s="1">
        <v>-0.77494300000000005</v>
      </c>
    </row>
    <row r="70" spans="1:15" x14ac:dyDescent="0.3">
      <c r="A70" s="20">
        <v>66</v>
      </c>
      <c r="B70">
        <v>1.7471080000000001</v>
      </c>
      <c r="C70">
        <v>-0.86922699999999997</v>
      </c>
      <c r="N70" s="12">
        <v>1.7629950000000001</v>
      </c>
      <c r="O70" s="1">
        <v>-0.77990099999999996</v>
      </c>
    </row>
    <row r="71" spans="1:15" x14ac:dyDescent="0.3">
      <c r="A71" s="20">
        <v>67</v>
      </c>
      <c r="B71">
        <v>1.74715</v>
      </c>
      <c r="C71">
        <v>-0.86965999999999999</v>
      </c>
      <c r="N71" s="12">
        <v>1.7622530000000001</v>
      </c>
      <c r="O71" s="1">
        <v>-0.78461000000000003</v>
      </c>
    </row>
    <row r="72" spans="1:15" x14ac:dyDescent="0.3">
      <c r="A72" s="20">
        <v>68</v>
      </c>
      <c r="B72">
        <v>1.747188</v>
      </c>
      <c r="C72">
        <v>-0.87005100000000002</v>
      </c>
      <c r="N72" s="12">
        <v>1.7615460000000001</v>
      </c>
      <c r="O72" s="1">
        <v>-0.78908199999999995</v>
      </c>
    </row>
    <row r="73" spans="1:15" x14ac:dyDescent="0.3">
      <c r="A73" s="20">
        <v>69</v>
      </c>
      <c r="B73">
        <v>1.747223</v>
      </c>
      <c r="C73">
        <v>-0.87040600000000001</v>
      </c>
      <c r="N73" s="12">
        <v>1.7608710000000001</v>
      </c>
      <c r="O73" s="1">
        <v>-0.79332899999999995</v>
      </c>
    </row>
    <row r="74" spans="1:15" x14ac:dyDescent="0.3">
      <c r="A74" s="20">
        <v>70</v>
      </c>
      <c r="B74">
        <v>1.7472540000000001</v>
      </c>
      <c r="C74">
        <v>-0.870726</v>
      </c>
      <c r="N74" s="12">
        <v>1.7602279999999999</v>
      </c>
      <c r="O74" s="1">
        <v>-0.79736300000000004</v>
      </c>
    </row>
    <row r="75" spans="1:15" x14ac:dyDescent="0.3">
      <c r="A75" s="20">
        <v>71</v>
      </c>
      <c r="B75">
        <v>1.7472829999999999</v>
      </c>
      <c r="C75">
        <v>-0.87101600000000001</v>
      </c>
      <c r="N75" s="12">
        <v>1.7596149999999999</v>
      </c>
      <c r="O75" s="1">
        <v>-0.80119399999999996</v>
      </c>
    </row>
    <row r="76" spans="1:15" x14ac:dyDescent="0.3">
      <c r="A76" s="20">
        <v>72</v>
      </c>
      <c r="B76">
        <v>1.747309</v>
      </c>
      <c r="C76">
        <v>-0.87127900000000003</v>
      </c>
      <c r="N76" s="12">
        <v>1.7590300000000001</v>
      </c>
      <c r="O76" s="1">
        <v>-0.80483199999999999</v>
      </c>
    </row>
    <row r="77" spans="1:15" x14ac:dyDescent="0.3">
      <c r="A77" s="20">
        <v>73</v>
      </c>
      <c r="B77">
        <v>1.7473320000000001</v>
      </c>
      <c r="C77">
        <v>-0.87151599999999996</v>
      </c>
      <c r="N77" s="12">
        <v>1.7584740000000001</v>
      </c>
      <c r="O77" s="1">
        <v>-0.80828800000000001</v>
      </c>
    </row>
    <row r="78" spans="1:15" x14ac:dyDescent="0.3">
      <c r="A78" s="20">
        <v>74</v>
      </c>
      <c r="B78">
        <v>1.7473529999999999</v>
      </c>
      <c r="C78">
        <v>-0.87173100000000003</v>
      </c>
      <c r="N78" s="12">
        <v>1.757943</v>
      </c>
      <c r="O78" s="1">
        <v>-0.81157000000000001</v>
      </c>
    </row>
    <row r="79" spans="1:15" x14ac:dyDescent="0.3">
      <c r="A79" s="20">
        <v>75</v>
      </c>
      <c r="B79">
        <v>1.7473719999999999</v>
      </c>
      <c r="C79">
        <v>-0.87192599999999998</v>
      </c>
      <c r="N79" s="12">
        <v>1.7574369999999999</v>
      </c>
      <c r="O79" s="1">
        <v>-0.81468700000000005</v>
      </c>
    </row>
    <row r="80" spans="1:15" x14ac:dyDescent="0.3">
      <c r="A80" s="20">
        <v>76</v>
      </c>
      <c r="B80">
        <v>1.7473890000000001</v>
      </c>
      <c r="C80">
        <v>-0.87210200000000004</v>
      </c>
      <c r="N80" s="12">
        <v>1.756956</v>
      </c>
      <c r="O80" s="1">
        <v>-0.81764800000000004</v>
      </c>
    </row>
    <row r="81" spans="1:15" x14ac:dyDescent="0.3">
      <c r="A81" s="20">
        <v>77</v>
      </c>
      <c r="B81">
        <v>1.747404</v>
      </c>
      <c r="C81">
        <v>-0.87226099999999995</v>
      </c>
      <c r="N81" s="12">
        <v>1.756497</v>
      </c>
      <c r="O81" s="1">
        <v>-0.82045999999999997</v>
      </c>
    </row>
    <row r="82" spans="1:15" x14ac:dyDescent="0.3">
      <c r="A82" s="20">
        <v>78</v>
      </c>
      <c r="B82">
        <v>1.7474190000000001</v>
      </c>
      <c r="C82">
        <v>-0.87240499999999999</v>
      </c>
      <c r="N82" s="12">
        <v>1.75606</v>
      </c>
      <c r="O82" s="1">
        <v>-0.82313099999999995</v>
      </c>
    </row>
    <row r="83" spans="1:15" x14ac:dyDescent="0.3">
      <c r="A83" s="20">
        <v>79</v>
      </c>
      <c r="B83">
        <v>1.747431</v>
      </c>
      <c r="C83">
        <v>-0.87253599999999998</v>
      </c>
      <c r="N83" s="12">
        <v>1.755644</v>
      </c>
      <c r="O83" s="1">
        <v>-0.82566799999999996</v>
      </c>
    </row>
    <row r="84" spans="1:15" x14ac:dyDescent="0.3">
      <c r="A84" s="20">
        <v>80</v>
      </c>
      <c r="B84">
        <v>1.7474430000000001</v>
      </c>
      <c r="C84">
        <v>-0.87265400000000004</v>
      </c>
      <c r="N84" s="12">
        <v>1.7552479999999999</v>
      </c>
      <c r="O84" s="1">
        <v>-0.82807799999999998</v>
      </c>
    </row>
    <row r="85" spans="1:15" x14ac:dyDescent="0.3">
      <c r="A85" s="20">
        <v>81</v>
      </c>
      <c r="B85">
        <v>1.7474529999999999</v>
      </c>
      <c r="C85">
        <v>-0.87275999999999998</v>
      </c>
      <c r="N85" s="12">
        <v>1.7548710000000001</v>
      </c>
      <c r="O85" s="1">
        <v>-0.83036699999999997</v>
      </c>
    </row>
    <row r="86" spans="1:15" x14ac:dyDescent="0.3">
      <c r="A86" s="20">
        <v>82</v>
      </c>
      <c r="B86">
        <v>1.747463</v>
      </c>
      <c r="C86">
        <v>-0.87285699999999999</v>
      </c>
      <c r="N86" s="12">
        <v>1.7545120000000001</v>
      </c>
      <c r="O86" s="1">
        <v>-0.83254099999999998</v>
      </c>
    </row>
    <row r="87" spans="1:15" x14ac:dyDescent="0.3">
      <c r="A87" s="20">
        <v>83</v>
      </c>
      <c r="N87" s="12">
        <v>1.7541709999999999</v>
      </c>
      <c r="O87" s="1">
        <v>-0.83460599999999996</v>
      </c>
    </row>
    <row r="88" spans="1:15" x14ac:dyDescent="0.3">
      <c r="A88" s="20">
        <v>84</v>
      </c>
      <c r="N88" s="12">
        <v>1.753846</v>
      </c>
      <c r="O88" s="1">
        <v>-0.83656699999999995</v>
      </c>
    </row>
    <row r="89" spans="1:15" x14ac:dyDescent="0.3">
      <c r="A89" s="20">
        <v>85</v>
      </c>
      <c r="N89" s="12">
        <v>1.753536</v>
      </c>
      <c r="O89" s="1">
        <v>-0.83843000000000001</v>
      </c>
    </row>
    <row r="90" spans="1:15" x14ac:dyDescent="0.3">
      <c r="A90" s="20">
        <v>86</v>
      </c>
      <c r="N90" s="12">
        <v>1.753242</v>
      </c>
      <c r="O90" s="1">
        <v>-0.84019999999999995</v>
      </c>
    </row>
    <row r="91" spans="1:15" x14ac:dyDescent="0.3">
      <c r="A91" s="20">
        <v>87</v>
      </c>
      <c r="N91" s="12">
        <v>1.752961</v>
      </c>
      <c r="O91" s="1">
        <v>-0.84188099999999999</v>
      </c>
    </row>
    <row r="92" spans="1:15" x14ac:dyDescent="0.3">
      <c r="A92" s="20">
        <v>88</v>
      </c>
      <c r="N92" s="12">
        <v>1.7526949999999999</v>
      </c>
      <c r="O92" s="1">
        <v>-0.84347700000000003</v>
      </c>
    </row>
    <row r="93" spans="1:15" x14ac:dyDescent="0.3">
      <c r="A93" s="20">
        <v>89</v>
      </c>
      <c r="N93" s="12">
        <v>1.7524409999999999</v>
      </c>
      <c r="O93" s="1">
        <v>-0.84499400000000002</v>
      </c>
    </row>
    <row r="94" spans="1:15" x14ac:dyDescent="0.3">
      <c r="A94" s="20">
        <v>90</v>
      </c>
      <c r="N94" s="12">
        <v>1.7522</v>
      </c>
      <c r="O94" s="1">
        <v>-0.84643500000000005</v>
      </c>
    </row>
    <row r="95" spans="1:15" x14ac:dyDescent="0.3">
      <c r="A95" s="20">
        <v>91</v>
      </c>
      <c r="N95" s="12">
        <v>1.75197</v>
      </c>
      <c r="O95" s="1">
        <v>-0.84780299999999997</v>
      </c>
    </row>
    <row r="96" spans="1:15" x14ac:dyDescent="0.3">
      <c r="A96" s="20">
        <v>92</v>
      </c>
      <c r="N96" s="12">
        <v>1.751752</v>
      </c>
      <c r="O96" s="1">
        <v>-0.84910300000000005</v>
      </c>
    </row>
    <row r="97" spans="1:15" x14ac:dyDescent="0.3">
      <c r="A97" s="20">
        <v>93</v>
      </c>
      <c r="N97" s="12">
        <v>1.751544</v>
      </c>
      <c r="O97" s="1">
        <v>-0.85033800000000004</v>
      </c>
    </row>
    <row r="98" spans="1:15" x14ac:dyDescent="0.3">
      <c r="A98" s="20">
        <v>94</v>
      </c>
      <c r="N98" s="12">
        <v>1.751347</v>
      </c>
      <c r="O98" s="1">
        <v>-0.85151100000000002</v>
      </c>
    </row>
    <row r="99" spans="1:15" x14ac:dyDescent="0.3">
      <c r="A99" s="20">
        <v>95</v>
      </c>
      <c r="N99" s="12">
        <v>1.7511589999999999</v>
      </c>
      <c r="O99" s="1">
        <v>-0.85262499999999997</v>
      </c>
    </row>
    <row r="100" spans="1:15" x14ac:dyDescent="0.3">
      <c r="A100" s="20">
        <v>96</v>
      </c>
      <c r="N100" s="12">
        <v>1.75098</v>
      </c>
      <c r="O100" s="1">
        <v>-0.853684</v>
      </c>
    </row>
    <row r="101" spans="1:15" x14ac:dyDescent="0.3">
      <c r="A101" s="20">
        <v>97</v>
      </c>
      <c r="N101" s="12">
        <v>1.7508109999999999</v>
      </c>
      <c r="O101" s="1">
        <v>-0.85468900000000003</v>
      </c>
    </row>
    <row r="102" spans="1:15" x14ac:dyDescent="0.3">
      <c r="A102" s="20">
        <v>98</v>
      </c>
      <c r="N102" s="12">
        <v>1.7506489999999999</v>
      </c>
      <c r="O102" s="1">
        <v>-0.85564399999999996</v>
      </c>
    </row>
    <row r="103" spans="1:15" x14ac:dyDescent="0.3">
      <c r="N103">
        <v>1.7504960000000001</v>
      </c>
      <c r="O103">
        <v>-0.85655099999999995</v>
      </c>
    </row>
    <row r="104" spans="1:15" x14ac:dyDescent="0.3">
      <c r="N104">
        <v>1.7503500000000001</v>
      </c>
      <c r="O104">
        <v>-0.85741299999999998</v>
      </c>
    </row>
    <row r="105" spans="1:15" x14ac:dyDescent="0.3">
      <c r="N105">
        <v>1.750211</v>
      </c>
      <c r="O105">
        <v>-0.85823199999999999</v>
      </c>
    </row>
    <row r="106" spans="1:15" x14ac:dyDescent="0.3">
      <c r="N106">
        <v>1.7500789999999999</v>
      </c>
      <c r="O106">
        <v>-0.85901000000000005</v>
      </c>
    </row>
    <row r="107" spans="1:15" x14ac:dyDescent="0.3">
      <c r="N107">
        <v>1.7499530000000001</v>
      </c>
      <c r="O107">
        <v>-0.85974799999999996</v>
      </c>
    </row>
    <row r="108" spans="1:15" x14ac:dyDescent="0.3">
      <c r="N108">
        <v>1.7498339999999999</v>
      </c>
      <c r="O108">
        <v>-0.86045000000000005</v>
      </c>
    </row>
    <row r="109" spans="1:15" x14ac:dyDescent="0.3">
      <c r="N109">
        <v>1.7497210000000001</v>
      </c>
      <c r="O109">
        <v>-0.86111700000000002</v>
      </c>
    </row>
    <row r="110" spans="1:15" x14ac:dyDescent="0.3">
      <c r="N110">
        <v>1.7496130000000001</v>
      </c>
      <c r="O110">
        <v>-0.86175000000000002</v>
      </c>
    </row>
    <row r="111" spans="1:15" x14ac:dyDescent="0.3">
      <c r="N111">
        <v>1.7495099999999999</v>
      </c>
      <c r="O111">
        <v>-0.86235200000000001</v>
      </c>
    </row>
    <row r="112" spans="1:15" x14ac:dyDescent="0.3">
      <c r="N112">
        <v>1.7494130000000001</v>
      </c>
      <c r="O112">
        <v>-0.862923</v>
      </c>
    </row>
    <row r="113" spans="14:15" x14ac:dyDescent="0.3">
      <c r="N113">
        <v>1.74932</v>
      </c>
      <c r="O113">
        <v>-0.86346599999999996</v>
      </c>
    </row>
    <row r="114" spans="14:15" x14ac:dyDescent="0.3">
      <c r="N114">
        <v>1.7492319999999999</v>
      </c>
      <c r="O114">
        <v>-0.86398200000000003</v>
      </c>
    </row>
    <row r="115" spans="14:15" x14ac:dyDescent="0.3">
      <c r="N115">
        <v>1.7491490000000001</v>
      </c>
      <c r="O115">
        <v>-0.86447200000000002</v>
      </c>
    </row>
    <row r="116" spans="14:15" x14ac:dyDescent="0.3">
      <c r="N116">
        <v>1.749069</v>
      </c>
      <c r="O116">
        <v>-0.86493699999999996</v>
      </c>
    </row>
    <row r="117" spans="14:15" x14ac:dyDescent="0.3">
      <c r="N117">
        <v>1.7489939999999999</v>
      </c>
      <c r="O117">
        <v>-0.86537900000000001</v>
      </c>
    </row>
    <row r="118" spans="14:15" x14ac:dyDescent="0.3">
      <c r="N118">
        <v>1.7489220000000001</v>
      </c>
      <c r="O118">
        <v>-0.86579899999999999</v>
      </c>
    </row>
    <row r="119" spans="14:15" x14ac:dyDescent="0.3">
      <c r="N119">
        <v>1.7488539999999999</v>
      </c>
      <c r="O119">
        <v>-0.86619800000000002</v>
      </c>
    </row>
    <row r="120" spans="14:15" x14ac:dyDescent="0.3">
      <c r="N120">
        <v>1.7487889999999999</v>
      </c>
      <c r="O120">
        <v>-0.86657700000000004</v>
      </c>
    </row>
    <row r="121" spans="14:15" x14ac:dyDescent="0.3">
      <c r="N121">
        <v>1.7487269999999999</v>
      </c>
      <c r="O121">
        <v>-0.86693699999999996</v>
      </c>
    </row>
    <row r="122" spans="14:15" x14ac:dyDescent="0.3">
      <c r="N122">
        <v>1.748669</v>
      </c>
      <c r="O122">
        <v>-0.86727900000000002</v>
      </c>
    </row>
    <row r="123" spans="14:15" x14ac:dyDescent="0.3">
      <c r="N123">
        <v>1.748613</v>
      </c>
      <c r="O123">
        <v>-0.86760400000000004</v>
      </c>
    </row>
    <row r="124" spans="14:15" x14ac:dyDescent="0.3">
      <c r="N124">
        <v>1.7485599999999999</v>
      </c>
      <c r="O124">
        <v>-0.86791300000000005</v>
      </c>
    </row>
    <row r="125" spans="14:15" x14ac:dyDescent="0.3">
      <c r="N125">
        <v>1.74851</v>
      </c>
      <c r="O125">
        <v>-0.86820600000000003</v>
      </c>
    </row>
    <row r="126" spans="14:15" x14ac:dyDescent="0.3">
      <c r="N126">
        <v>1.748462</v>
      </c>
      <c r="O126">
        <v>-0.86848499999999995</v>
      </c>
    </row>
    <row r="127" spans="14:15" x14ac:dyDescent="0.3">
      <c r="N127">
        <v>1.7484170000000001</v>
      </c>
      <c r="O127">
        <v>-0.86874899999999999</v>
      </c>
    </row>
    <row r="128" spans="14:15" x14ac:dyDescent="0.3">
      <c r="N128">
        <v>1.7483740000000001</v>
      </c>
      <c r="O128">
        <v>-0.86900100000000002</v>
      </c>
    </row>
    <row r="129" spans="14:15" x14ac:dyDescent="0.3">
      <c r="N129">
        <v>1.7483329999999999</v>
      </c>
      <c r="O129">
        <v>-0.86923899999999998</v>
      </c>
    </row>
    <row r="130" spans="14:15" x14ac:dyDescent="0.3">
      <c r="N130">
        <v>1.748294</v>
      </c>
      <c r="O130">
        <v>-0.86946599999999996</v>
      </c>
    </row>
    <row r="131" spans="14:15" x14ac:dyDescent="0.3">
      <c r="N131">
        <v>1.7482569999999999</v>
      </c>
      <c r="O131">
        <v>-0.86968199999999996</v>
      </c>
    </row>
    <row r="132" spans="14:15" x14ac:dyDescent="0.3">
      <c r="N132">
        <v>1.7482219999999999</v>
      </c>
      <c r="O132">
        <v>-0.86988699999999997</v>
      </c>
    </row>
    <row r="133" spans="14:15" x14ac:dyDescent="0.3">
      <c r="N133">
        <v>1.7481880000000001</v>
      </c>
      <c r="O133">
        <v>-0.87008099999999999</v>
      </c>
    </row>
    <row r="134" spans="14:15" x14ac:dyDescent="0.3">
      <c r="N134">
        <v>1.748156</v>
      </c>
      <c r="O134">
        <v>-0.87026599999999998</v>
      </c>
    </row>
    <row r="135" spans="14:15" x14ac:dyDescent="0.3">
      <c r="N135">
        <v>1.7481260000000001</v>
      </c>
      <c r="O135">
        <v>-0.87044100000000002</v>
      </c>
    </row>
    <row r="136" spans="14:15" x14ac:dyDescent="0.3">
      <c r="N136">
        <v>1.7480979999999999</v>
      </c>
      <c r="O136">
        <v>-0.87060800000000005</v>
      </c>
    </row>
    <row r="137" spans="14:15" x14ac:dyDescent="0.3">
      <c r="N137">
        <v>1.74807</v>
      </c>
      <c r="O137">
        <v>-0.87076699999999996</v>
      </c>
    </row>
    <row r="138" spans="14:15" x14ac:dyDescent="0.3">
      <c r="N138">
        <v>1.7480450000000001</v>
      </c>
      <c r="O138">
        <v>-0.87091700000000005</v>
      </c>
    </row>
    <row r="139" spans="14:15" x14ac:dyDescent="0.3">
      <c r="N139">
        <v>1.7480199999999999</v>
      </c>
      <c r="O139">
        <v>-0.87105999999999995</v>
      </c>
    </row>
    <row r="140" spans="14:15" x14ac:dyDescent="0.3">
      <c r="N140">
        <v>1.747997</v>
      </c>
      <c r="O140">
        <v>-0.87119599999999997</v>
      </c>
    </row>
    <row r="141" spans="14:15" x14ac:dyDescent="0.3">
      <c r="N141">
        <v>1.7479739999999999</v>
      </c>
      <c r="O141">
        <v>-0.87132500000000002</v>
      </c>
    </row>
    <row r="142" spans="14:15" x14ac:dyDescent="0.3">
      <c r="N142">
        <v>1.7479530000000001</v>
      </c>
      <c r="O142">
        <v>-0.871448</v>
      </c>
    </row>
    <row r="143" spans="14:15" x14ac:dyDescent="0.3">
      <c r="N143">
        <v>1.747933</v>
      </c>
      <c r="O143">
        <v>-0.87156400000000001</v>
      </c>
    </row>
    <row r="144" spans="14:15" x14ac:dyDescent="0.3">
      <c r="N144">
        <v>1.747914</v>
      </c>
      <c r="O144">
        <v>-0.87167499999999998</v>
      </c>
    </row>
    <row r="145" spans="14:15" x14ac:dyDescent="0.3">
      <c r="N145">
        <v>1.7478959999999999</v>
      </c>
      <c r="O145">
        <v>-0.87178</v>
      </c>
    </row>
    <row r="146" spans="14:15" x14ac:dyDescent="0.3">
      <c r="N146">
        <v>1.747879</v>
      </c>
      <c r="O146">
        <v>-0.87187899999999996</v>
      </c>
    </row>
    <row r="147" spans="14:15" x14ac:dyDescent="0.3">
      <c r="N147">
        <v>1.7478629999999999</v>
      </c>
      <c r="O147">
        <v>-0.87197400000000003</v>
      </c>
    </row>
  </sheetData>
  <mergeCells count="13">
    <mergeCell ref="A1:A3"/>
    <mergeCell ref="N1:S1"/>
    <mergeCell ref="N2:O2"/>
    <mergeCell ref="P2:Q2"/>
    <mergeCell ref="R2:S2"/>
    <mergeCell ref="B1:G1"/>
    <mergeCell ref="B2:C2"/>
    <mergeCell ref="D2:E2"/>
    <mergeCell ref="F2:G2"/>
    <mergeCell ref="H1:M1"/>
    <mergeCell ref="H2:I2"/>
    <mergeCell ref="J2:K2"/>
    <mergeCell ref="L2:M2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workbookViewId="0">
      <selection activeCell="A4" sqref="A4"/>
    </sheetView>
  </sheetViews>
  <sheetFormatPr defaultColWidth="9.109375" defaultRowHeight="14.4" x14ac:dyDescent="0.3"/>
  <cols>
    <col min="1" max="1" width="8.6640625" style="27" customWidth="1"/>
    <col min="2" max="6" width="15.6640625" style="27" customWidth="1"/>
    <col min="7" max="7" width="8.6640625" style="27" customWidth="1"/>
    <col min="8" max="16384" width="9.109375" style="27"/>
  </cols>
  <sheetData>
    <row r="1" spans="1:7" ht="30" customHeight="1" x14ac:dyDescent="0.3">
      <c r="A1" s="77" t="s">
        <v>8</v>
      </c>
      <c r="B1" s="76" t="s">
        <v>7</v>
      </c>
      <c r="C1" s="76"/>
      <c r="D1" s="76"/>
      <c r="E1" s="76"/>
      <c r="F1" s="73"/>
      <c r="G1" s="75"/>
    </row>
    <row r="2" spans="1:7" ht="30" customHeight="1" thickBot="1" x14ac:dyDescent="0.35">
      <c r="A2" s="78"/>
      <c r="B2" s="13" t="s">
        <v>15</v>
      </c>
      <c r="C2" s="22" t="s">
        <v>16</v>
      </c>
      <c r="D2" s="5" t="s">
        <v>17</v>
      </c>
      <c r="E2" s="14" t="s">
        <v>18</v>
      </c>
      <c r="F2" s="14" t="s">
        <v>19</v>
      </c>
      <c r="G2" s="6" t="s">
        <v>10</v>
      </c>
    </row>
    <row r="3" spans="1:7" ht="15" thickBot="1" x14ac:dyDescent="0.35">
      <c r="A3" s="28">
        <v>0.01</v>
      </c>
      <c r="B3" s="31"/>
      <c r="C3" s="32"/>
      <c r="D3" s="32"/>
      <c r="E3" s="32"/>
      <c r="F3" s="32"/>
      <c r="G3" s="34"/>
    </row>
    <row r="4" spans="1:7" ht="15" thickBot="1" x14ac:dyDescent="0.35">
      <c r="A4" s="29">
        <v>1E-3</v>
      </c>
      <c r="B4" s="51">
        <v>-9.9730279999999993</v>
      </c>
      <c r="C4" s="52">
        <v>8.7595999999999993E-2</v>
      </c>
      <c r="D4" s="52">
        <v>0.10861800000000001</v>
      </c>
      <c r="E4" s="52">
        <v>0.273924</v>
      </c>
      <c r="F4" s="52">
        <v>0.7</v>
      </c>
      <c r="G4" s="53">
        <v>5705</v>
      </c>
    </row>
    <row r="5" spans="1:7" ht="15" thickBot="1" x14ac:dyDescent="0.35">
      <c r="A5" s="30">
        <v>1E-4</v>
      </c>
      <c r="B5" s="54">
        <v>-9.0899999999999998E-4</v>
      </c>
      <c r="C5" s="55">
        <v>4.738E-3</v>
      </c>
      <c r="D5" s="55">
        <v>1.485E-2</v>
      </c>
      <c r="E5" s="55">
        <v>0.53155799999999997</v>
      </c>
      <c r="F5" s="55">
        <v>0.7</v>
      </c>
      <c r="G5" s="56">
        <v>94</v>
      </c>
    </row>
  </sheetData>
  <mergeCells count="2">
    <mergeCell ref="A1:A2"/>
    <mergeCell ref="B1:G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8A5E5-678E-4C7F-9CBD-F13F3DBED583}">
  <dimension ref="B2:K113"/>
  <sheetViews>
    <sheetView topLeftCell="A15" zoomScale="115" zoomScaleNormal="115" workbookViewId="0"/>
  </sheetViews>
  <sheetFormatPr defaultColWidth="9.109375" defaultRowHeight="14.4" x14ac:dyDescent="0.3"/>
  <cols>
    <col min="1" max="16384" width="9.109375" style="27"/>
  </cols>
  <sheetData>
    <row r="2" spans="2:11" ht="15" thickBot="1" x14ac:dyDescent="0.35"/>
    <row r="3" spans="2:11" ht="15" thickBot="1" x14ac:dyDescent="0.35">
      <c r="D3" s="57" t="s">
        <v>28</v>
      </c>
      <c r="E3" s="58" t="s">
        <v>26</v>
      </c>
      <c r="F3" s="59" t="s">
        <v>27</v>
      </c>
    </row>
    <row r="4" spans="2:11" ht="15" thickBot="1" x14ac:dyDescent="0.35">
      <c r="D4" s="54">
        <v>-9.9730279999999993</v>
      </c>
      <c r="E4" s="55">
        <v>8.7595999999999993E-2</v>
      </c>
      <c r="F4" s="56">
        <v>0.10861800000000001</v>
      </c>
    </row>
    <row r="12" spans="2:11" ht="15" thickBot="1" x14ac:dyDescent="0.35"/>
    <row r="13" spans="2:11" ht="15" thickBot="1" x14ac:dyDescent="0.35">
      <c r="F13" s="95">
        <v>1</v>
      </c>
      <c r="G13" s="95"/>
      <c r="H13" s="95">
        <v>0</v>
      </c>
      <c r="I13" s="95"/>
      <c r="J13" s="61" t="s">
        <v>24</v>
      </c>
      <c r="K13" s="61" t="s">
        <v>25</v>
      </c>
    </row>
    <row r="14" spans="2:11" x14ac:dyDescent="0.3">
      <c r="B14" s="43">
        <v>1</v>
      </c>
      <c r="C14" s="43">
        <v>57</v>
      </c>
      <c r="D14" s="43">
        <v>68</v>
      </c>
      <c r="E14" s="41">
        <v>1</v>
      </c>
      <c r="F14" s="50" cm="1">
        <f t="array" ref="F14:G14">IF(E14,C14:D14, NA())</f>
        <v>57</v>
      </c>
      <c r="G14" s="38">
        <v>68</v>
      </c>
      <c r="H14" s="38" t="e" cm="1">
        <f t="array" ref="H14">IF(E14=0,C14:D14,NA())</f>
        <v>#N/A</v>
      </c>
      <c r="I14" s="38"/>
      <c r="J14" s="38">
        <v>57</v>
      </c>
      <c r="K14" s="38">
        <f>-($D$4+$E$4*C14)/$F$4+$K$9</f>
        <v>45.849269918429719</v>
      </c>
    </row>
    <row r="15" spans="2:11" x14ac:dyDescent="0.3">
      <c r="B15" s="43">
        <v>1</v>
      </c>
      <c r="C15" s="43">
        <v>86</v>
      </c>
      <c r="D15" s="43">
        <v>87</v>
      </c>
      <c r="E15" s="41">
        <v>1</v>
      </c>
      <c r="F15" s="42" cm="1">
        <f t="array" ref="F15:G15">IF(E15,C15:D15, NA())</f>
        <v>86</v>
      </c>
      <c r="G15" s="43">
        <v>87</v>
      </c>
      <c r="H15" s="43" t="e" cm="1">
        <f t="array" ref="H15">IF(E15=0,C15:D15,NA())</f>
        <v>#N/A</v>
      </c>
      <c r="I15" s="43"/>
      <c r="J15" s="43">
        <v>86</v>
      </c>
      <c r="K15" s="43">
        <f t="shared" ref="K15:K78" si="0">-($D$4+$E$4*C15)/$F$4+$K$9</f>
        <v>22.461949216520278</v>
      </c>
    </row>
    <row r="16" spans="2:11" x14ac:dyDescent="0.3">
      <c r="B16" s="43">
        <v>1</v>
      </c>
      <c r="C16" s="43">
        <v>86</v>
      </c>
      <c r="D16" s="43">
        <v>46</v>
      </c>
      <c r="E16" s="41">
        <v>1</v>
      </c>
      <c r="F16" s="42" cm="1">
        <f t="array" ref="F16:G16">IF(E16,C16:D16, NA())</f>
        <v>86</v>
      </c>
      <c r="G16" s="43">
        <v>46</v>
      </c>
      <c r="H16" s="43" t="e" cm="1">
        <f t="array" ref="H16">IF(E16=0,C16:D16,NA())</f>
        <v>#N/A</v>
      </c>
      <c r="I16" s="43"/>
      <c r="J16" s="43">
        <v>86</v>
      </c>
      <c r="K16" s="43">
        <f t="shared" si="0"/>
        <v>22.461949216520278</v>
      </c>
    </row>
    <row r="17" spans="2:11" x14ac:dyDescent="0.3">
      <c r="B17" s="43">
        <v>1</v>
      </c>
      <c r="C17" s="43">
        <v>71</v>
      </c>
      <c r="D17" s="43">
        <v>25</v>
      </c>
      <c r="E17" s="41">
        <v>0</v>
      </c>
      <c r="F17" s="42" t="e" cm="1">
        <f t="array" ref="F17">IF(E17,C17:D17, NA())</f>
        <v>#N/A</v>
      </c>
      <c r="G17" s="43"/>
      <c r="H17" s="43" cm="1">
        <f t="array" ref="H17:I17">IF(E17=0,C17:D17,NA())</f>
        <v>71</v>
      </c>
      <c r="I17" s="43">
        <v>25</v>
      </c>
      <c r="J17" s="43">
        <v>71</v>
      </c>
      <c r="K17" s="43">
        <f t="shared" si="0"/>
        <v>34.558839234749307</v>
      </c>
    </row>
    <row r="18" spans="2:11" x14ac:dyDescent="0.3">
      <c r="B18" s="43">
        <v>1</v>
      </c>
      <c r="C18" s="43">
        <v>75</v>
      </c>
      <c r="D18" s="43">
        <v>77</v>
      </c>
      <c r="E18" s="41">
        <v>1</v>
      </c>
      <c r="F18" s="42" cm="1">
        <f t="array" ref="F18:G18">IF(E18,C18:D18, NA())</f>
        <v>75</v>
      </c>
      <c r="G18" s="43">
        <v>77</v>
      </c>
      <c r="H18" s="43" t="e" cm="1">
        <f t="array" ref="H18">IF(E18=0,C18:D18,NA())</f>
        <v>#N/A</v>
      </c>
      <c r="I18" s="43"/>
      <c r="J18" s="43">
        <v>75</v>
      </c>
      <c r="K18" s="43">
        <f t="shared" si="0"/>
        <v>31.333001896554897</v>
      </c>
    </row>
    <row r="19" spans="2:11" x14ac:dyDescent="0.3">
      <c r="B19" s="43">
        <v>1</v>
      </c>
      <c r="C19" s="43">
        <v>84</v>
      </c>
      <c r="D19" s="43">
        <v>53</v>
      </c>
      <c r="E19" s="41">
        <v>1</v>
      </c>
      <c r="F19" s="42" cm="1">
        <f t="array" ref="F19:G19">IF(E19,C19:D19, NA())</f>
        <v>84</v>
      </c>
      <c r="G19" s="43">
        <v>53</v>
      </c>
      <c r="H19" s="43" t="e" cm="1">
        <f t="array" ref="H19">IF(E19=0,C19:D19,NA())</f>
        <v>#N/A</v>
      </c>
      <c r="I19" s="43"/>
      <c r="J19" s="43">
        <v>84</v>
      </c>
      <c r="K19" s="43">
        <f t="shared" si="0"/>
        <v>24.074867885617479</v>
      </c>
    </row>
    <row r="20" spans="2:11" x14ac:dyDescent="0.3">
      <c r="B20" s="43">
        <v>1</v>
      </c>
      <c r="C20" s="43">
        <v>89</v>
      </c>
      <c r="D20" s="43">
        <v>93</v>
      </c>
      <c r="E20" s="41">
        <v>1</v>
      </c>
      <c r="F20" s="42" cm="1">
        <f t="array" ref="F20:G20">IF(E20,C20:D20, NA())</f>
        <v>89</v>
      </c>
      <c r="G20" s="43">
        <v>93</v>
      </c>
      <c r="H20" s="43" t="e" cm="1">
        <f t="array" ref="H20">IF(E20=0,C20:D20,NA())</f>
        <v>#N/A</v>
      </c>
      <c r="I20" s="43"/>
      <c r="J20" s="43">
        <v>89</v>
      </c>
      <c r="K20" s="43">
        <f t="shared" si="0"/>
        <v>20.042571212874478</v>
      </c>
    </row>
    <row r="21" spans="2:11" x14ac:dyDescent="0.3">
      <c r="B21" s="43">
        <v>1</v>
      </c>
      <c r="C21" s="43">
        <v>68</v>
      </c>
      <c r="D21" s="43">
        <v>96</v>
      </c>
      <c r="E21" s="41">
        <v>1</v>
      </c>
      <c r="F21" s="42" cm="1">
        <f t="array" ref="F21:G21">IF(E21,C21:D21, NA())</f>
        <v>68</v>
      </c>
      <c r="G21" s="43">
        <v>96</v>
      </c>
      <c r="H21" s="43" t="e" cm="1">
        <f t="array" ref="H21">IF(E21=0,C21:D21,NA())</f>
        <v>#N/A</v>
      </c>
      <c r="I21" s="43"/>
      <c r="J21" s="43">
        <v>68</v>
      </c>
      <c r="K21" s="43">
        <f t="shared" si="0"/>
        <v>36.978217238395104</v>
      </c>
    </row>
    <row r="22" spans="2:11" x14ac:dyDescent="0.3">
      <c r="B22" s="43">
        <v>1</v>
      </c>
      <c r="C22" s="43">
        <v>50</v>
      </c>
      <c r="D22" s="43">
        <v>34</v>
      </c>
      <c r="E22" s="41">
        <v>0</v>
      </c>
      <c r="F22" s="42" t="e" cm="1">
        <f t="array" ref="F22">IF(E22,C22:D22, NA())</f>
        <v>#N/A</v>
      </c>
      <c r="G22" s="43"/>
      <c r="H22" s="43" cm="1">
        <f t="array" ref="H22:I22">IF(E22=0,C22:D22,NA())</f>
        <v>50</v>
      </c>
      <c r="I22" s="43">
        <v>34</v>
      </c>
      <c r="J22" s="43">
        <v>50</v>
      </c>
      <c r="K22" s="43">
        <f t="shared" si="0"/>
        <v>51.494485260269933</v>
      </c>
    </row>
    <row r="23" spans="2:11" x14ac:dyDescent="0.3">
      <c r="B23" s="43">
        <v>1</v>
      </c>
      <c r="C23" s="43">
        <v>90</v>
      </c>
      <c r="D23" s="43">
        <v>92</v>
      </c>
      <c r="E23" s="41">
        <v>1</v>
      </c>
      <c r="F23" s="42" cm="1">
        <f t="array" ref="F23:G23">IF(E23,C23:D23, NA())</f>
        <v>90</v>
      </c>
      <c r="G23" s="43">
        <v>92</v>
      </c>
      <c r="H23" s="43" t="e" cm="1">
        <f t="array" ref="H23">IF(E23=0,C23:D23,NA())</f>
        <v>#N/A</v>
      </c>
      <c r="I23" s="43"/>
      <c r="J23" s="43">
        <v>90</v>
      </c>
      <c r="K23" s="43">
        <f t="shared" si="0"/>
        <v>19.236111878325872</v>
      </c>
    </row>
    <row r="24" spans="2:11" x14ac:dyDescent="0.3">
      <c r="B24" s="43">
        <v>1</v>
      </c>
      <c r="C24" s="43">
        <v>53</v>
      </c>
      <c r="D24" s="43">
        <v>87</v>
      </c>
      <c r="E24" s="41">
        <v>1</v>
      </c>
      <c r="F24" s="42" cm="1">
        <f t="array" ref="F24:G24">IF(E24,C24:D24, NA())</f>
        <v>53</v>
      </c>
      <c r="G24" s="43">
        <v>87</v>
      </c>
      <c r="H24" s="43" t="e" cm="1">
        <f t="array" ref="H24">IF(E24=0,C24:D24,NA())</f>
        <v>#N/A</v>
      </c>
      <c r="I24" s="43"/>
      <c r="J24" s="43">
        <v>53</v>
      </c>
      <c r="K24" s="43">
        <f t="shared" si="0"/>
        <v>49.075107256624122</v>
      </c>
    </row>
    <row r="25" spans="2:11" x14ac:dyDescent="0.3">
      <c r="B25" s="43">
        <v>1</v>
      </c>
      <c r="C25" s="43">
        <v>40</v>
      </c>
      <c r="D25" s="43">
        <v>49</v>
      </c>
      <c r="E25" s="41">
        <v>0</v>
      </c>
      <c r="F25" s="42" t="e" cm="1">
        <f t="array" ref="F25">IF(E25,C25:D25, NA())</f>
        <v>#N/A</v>
      </c>
      <c r="G25" s="43"/>
      <c r="H25" s="43" cm="1">
        <f t="array" ref="H25:I25">IF(E25=0,C25:D25,NA())</f>
        <v>40</v>
      </c>
      <c r="I25" s="43">
        <v>49</v>
      </c>
      <c r="J25" s="43">
        <v>40</v>
      </c>
      <c r="K25" s="43">
        <f t="shared" si="0"/>
        <v>59.559078605755943</v>
      </c>
    </row>
    <row r="26" spans="2:11" x14ac:dyDescent="0.3">
      <c r="B26" s="43">
        <v>1</v>
      </c>
      <c r="C26" s="43">
        <v>40</v>
      </c>
      <c r="D26" s="43">
        <v>68</v>
      </c>
      <c r="E26" s="41">
        <v>1</v>
      </c>
      <c r="F26" s="42" cm="1">
        <f t="array" ref="F26:G26">IF(E26,C26:D26, NA())</f>
        <v>40</v>
      </c>
      <c r="G26" s="43">
        <v>68</v>
      </c>
      <c r="H26" s="43" t="e" cm="1">
        <f t="array" ref="H26">IF(E26=0,C26:D26,NA())</f>
        <v>#N/A</v>
      </c>
      <c r="I26" s="43"/>
      <c r="J26" s="43">
        <v>40</v>
      </c>
      <c r="K26" s="43">
        <f t="shared" si="0"/>
        <v>59.559078605755943</v>
      </c>
    </row>
    <row r="27" spans="2:11" x14ac:dyDescent="0.3">
      <c r="B27" s="43">
        <v>1</v>
      </c>
      <c r="C27" s="43">
        <v>28</v>
      </c>
      <c r="D27" s="43">
        <v>56</v>
      </c>
      <c r="E27" s="41">
        <v>0</v>
      </c>
      <c r="F27" s="42" t="e" cm="1">
        <f t="array" ref="F27">IF(E27,C27:D27, NA())</f>
        <v>#N/A</v>
      </c>
      <c r="G27" s="43"/>
      <c r="H27" s="43" cm="1">
        <f t="array" ref="H27:I27">IF(E27=0,C27:D27,NA())</f>
        <v>28</v>
      </c>
      <c r="I27" s="43">
        <v>56</v>
      </c>
      <c r="J27" s="43">
        <v>28</v>
      </c>
      <c r="K27" s="43">
        <f t="shared" si="0"/>
        <v>69.236590620339157</v>
      </c>
    </row>
    <row r="28" spans="2:11" x14ac:dyDescent="0.3">
      <c r="B28" s="43">
        <v>1</v>
      </c>
      <c r="C28" s="43">
        <v>97</v>
      </c>
      <c r="D28" s="43">
        <v>88</v>
      </c>
      <c r="E28" s="41">
        <v>1</v>
      </c>
      <c r="F28" s="42" cm="1">
        <f t="array" ref="F28:G28">IF(E28,C28:D28, NA())</f>
        <v>97</v>
      </c>
      <c r="G28" s="43">
        <v>88</v>
      </c>
      <c r="H28" s="43" t="e" cm="1">
        <f t="array" ref="H28">IF(E28=0,C28:D28,NA())</f>
        <v>#N/A</v>
      </c>
      <c r="I28" s="43"/>
      <c r="J28" s="43">
        <v>97</v>
      </c>
      <c r="K28" s="43">
        <f t="shared" si="0"/>
        <v>13.590896536485673</v>
      </c>
    </row>
    <row r="29" spans="2:11" x14ac:dyDescent="0.3">
      <c r="B29" s="43">
        <v>1</v>
      </c>
      <c r="C29" s="43">
        <v>35</v>
      </c>
      <c r="D29" s="43">
        <v>35</v>
      </c>
      <c r="E29" s="41">
        <v>0</v>
      </c>
      <c r="F29" s="42" t="e" cm="1">
        <f t="array" ref="F29">IF(E29,C29:D29, NA())</f>
        <v>#N/A</v>
      </c>
      <c r="G29" s="43"/>
      <c r="H29" s="43" cm="1">
        <f t="array" ref="H29:I29">IF(E29=0,C29:D29,NA())</f>
        <v>35</v>
      </c>
      <c r="I29" s="43">
        <v>35</v>
      </c>
      <c r="J29" s="43">
        <v>35</v>
      </c>
      <c r="K29" s="43">
        <f t="shared" si="0"/>
        <v>63.591375278498951</v>
      </c>
    </row>
    <row r="30" spans="2:11" x14ac:dyDescent="0.3">
      <c r="B30" s="43">
        <v>1</v>
      </c>
      <c r="C30" s="43">
        <v>59</v>
      </c>
      <c r="D30" s="43">
        <v>80</v>
      </c>
      <c r="E30" s="41">
        <v>1</v>
      </c>
      <c r="F30" s="42" cm="1">
        <f t="array" ref="F30:G30">IF(E30,C30:D30, NA())</f>
        <v>59</v>
      </c>
      <c r="G30" s="43">
        <v>80</v>
      </c>
      <c r="H30" s="43" t="e" cm="1">
        <f t="array" ref="H30">IF(E30=0,C30:D30,NA())</f>
        <v>#N/A</v>
      </c>
      <c r="I30" s="43"/>
      <c r="J30" s="43">
        <v>59</v>
      </c>
      <c r="K30" s="43">
        <f t="shared" si="0"/>
        <v>44.236351249332515</v>
      </c>
    </row>
    <row r="31" spans="2:11" x14ac:dyDescent="0.3">
      <c r="B31" s="43">
        <v>1</v>
      </c>
      <c r="C31" s="43">
        <v>29</v>
      </c>
      <c r="D31" s="43">
        <v>75</v>
      </c>
      <c r="E31" s="41">
        <v>0</v>
      </c>
      <c r="F31" s="42" t="e" cm="1">
        <f t="array" ref="F31">IF(E31,C31:D31, NA())</f>
        <v>#N/A</v>
      </c>
      <c r="G31" s="43"/>
      <c r="H31" s="43" cm="1">
        <f t="array" ref="H31:I31">IF(E31=0,C31:D31,NA())</f>
        <v>29</v>
      </c>
      <c r="I31" s="43">
        <v>75</v>
      </c>
      <c r="J31" s="43">
        <v>29</v>
      </c>
      <c r="K31" s="43">
        <f t="shared" si="0"/>
        <v>68.430131285790566</v>
      </c>
    </row>
    <row r="32" spans="2:11" x14ac:dyDescent="0.3">
      <c r="B32" s="43">
        <v>1</v>
      </c>
      <c r="C32" s="43">
        <v>44</v>
      </c>
      <c r="D32" s="43">
        <v>30</v>
      </c>
      <c r="E32" s="41">
        <v>0</v>
      </c>
      <c r="F32" s="42" t="e" cm="1">
        <f t="array" ref="F32">IF(E32,C32:D32, NA())</f>
        <v>#N/A</v>
      </c>
      <c r="G32" s="43"/>
      <c r="H32" s="43" cm="1">
        <f t="array" ref="H32:I32">IF(E32=0,C32:D32,NA())</f>
        <v>44</v>
      </c>
      <c r="I32" s="43">
        <v>30</v>
      </c>
      <c r="J32" s="43">
        <v>44</v>
      </c>
      <c r="K32" s="43">
        <f t="shared" si="0"/>
        <v>56.333241267561533</v>
      </c>
    </row>
    <row r="33" spans="2:11" x14ac:dyDescent="0.3">
      <c r="B33" s="43">
        <v>1</v>
      </c>
      <c r="C33" s="43">
        <v>54</v>
      </c>
      <c r="D33" s="43">
        <v>73</v>
      </c>
      <c r="E33" s="41">
        <v>1</v>
      </c>
      <c r="F33" s="42" cm="1">
        <f t="array" ref="F33:G33">IF(E33,C33:D33, NA())</f>
        <v>54</v>
      </c>
      <c r="G33" s="43">
        <v>73</v>
      </c>
      <c r="H33" s="43" t="e" cm="1">
        <f t="array" ref="H33">IF(E33=0,C33:D33,NA())</f>
        <v>#N/A</v>
      </c>
      <c r="I33" s="43"/>
      <c r="J33" s="43">
        <v>54</v>
      </c>
      <c r="K33" s="43">
        <f t="shared" si="0"/>
        <v>48.268647922075523</v>
      </c>
    </row>
    <row r="34" spans="2:11" x14ac:dyDescent="0.3">
      <c r="B34" s="43">
        <v>1</v>
      </c>
      <c r="C34" s="43">
        <v>22</v>
      </c>
      <c r="D34" s="43">
        <v>77</v>
      </c>
      <c r="E34" s="41">
        <v>0</v>
      </c>
      <c r="F34" s="42" t="e" cm="1">
        <f t="array" ref="F34">IF(E34,C34:D34, NA())</f>
        <v>#N/A</v>
      </c>
      <c r="G34" s="43"/>
      <c r="H34" s="43" cm="1">
        <f t="array" ref="H34:I34">IF(E34=0,C34:D34,NA())</f>
        <v>22</v>
      </c>
      <c r="I34" s="43">
        <v>77</v>
      </c>
      <c r="J34" s="43">
        <v>22</v>
      </c>
      <c r="K34" s="43">
        <f t="shared" si="0"/>
        <v>74.075346627630779</v>
      </c>
    </row>
    <row r="35" spans="2:11" x14ac:dyDescent="0.3">
      <c r="B35" s="43">
        <v>1</v>
      </c>
      <c r="C35" s="43">
        <v>53</v>
      </c>
      <c r="D35" s="43">
        <v>48</v>
      </c>
      <c r="E35" s="41">
        <v>1</v>
      </c>
      <c r="F35" s="42" cm="1">
        <f t="array" ref="F35:G35">IF(E35,C35:D35, NA())</f>
        <v>53</v>
      </c>
      <c r="G35" s="43">
        <v>48</v>
      </c>
      <c r="H35" s="43" t="e" cm="1">
        <f t="array" ref="H35">IF(E35=0,C35:D35,NA())</f>
        <v>#N/A</v>
      </c>
      <c r="I35" s="43"/>
      <c r="J35" s="43">
        <v>53</v>
      </c>
      <c r="K35" s="43">
        <f t="shared" si="0"/>
        <v>49.075107256624122</v>
      </c>
    </row>
    <row r="36" spans="2:11" x14ac:dyDescent="0.3">
      <c r="B36" s="43">
        <v>1</v>
      </c>
      <c r="C36" s="43">
        <v>66</v>
      </c>
      <c r="D36" s="43">
        <v>42</v>
      </c>
      <c r="E36" s="41">
        <v>1</v>
      </c>
      <c r="F36" s="42" cm="1">
        <f t="array" ref="F36:G36">IF(E36,C36:D36, NA())</f>
        <v>66</v>
      </c>
      <c r="G36" s="43">
        <v>42</v>
      </c>
      <c r="H36" s="43" t="e" cm="1">
        <f t="array" ref="H36">IF(E36=0,C36:D36,NA())</f>
        <v>#N/A</v>
      </c>
      <c r="I36" s="43"/>
      <c r="J36" s="43">
        <v>66</v>
      </c>
      <c r="K36" s="43">
        <f t="shared" si="0"/>
        <v>38.591135907492308</v>
      </c>
    </row>
    <row r="37" spans="2:11" x14ac:dyDescent="0.3">
      <c r="B37" s="43">
        <v>1</v>
      </c>
      <c r="C37" s="43">
        <v>26</v>
      </c>
      <c r="D37" s="43">
        <v>87</v>
      </c>
      <c r="E37" s="41">
        <v>0</v>
      </c>
      <c r="F37" s="42" t="e" cm="1">
        <f t="array" ref="F37">IF(E37,C37:D37, NA())</f>
        <v>#N/A</v>
      </c>
      <c r="G37" s="43"/>
      <c r="H37" s="43" cm="1">
        <f t="array" ref="H37:I37">IF(E37=0,C37:D37,NA())</f>
        <v>26</v>
      </c>
      <c r="I37" s="43">
        <v>87</v>
      </c>
      <c r="J37" s="43">
        <v>26</v>
      </c>
      <c r="K37" s="43">
        <f t="shared" si="0"/>
        <v>70.849509289436369</v>
      </c>
    </row>
    <row r="38" spans="2:11" x14ac:dyDescent="0.3">
      <c r="B38" s="43">
        <v>1</v>
      </c>
      <c r="C38" s="43">
        <v>43</v>
      </c>
      <c r="D38" s="43">
        <v>67</v>
      </c>
      <c r="E38" s="41">
        <v>1</v>
      </c>
      <c r="F38" s="42" cm="1">
        <f t="array" ref="F38:G38">IF(E38,C38:D38, NA())</f>
        <v>43</v>
      </c>
      <c r="G38" s="43">
        <v>67</v>
      </c>
      <c r="H38" s="43" t="e" cm="1">
        <f t="array" ref="H38">IF(E38=0,C38:D38,NA())</f>
        <v>#N/A</v>
      </c>
      <c r="I38" s="43"/>
      <c r="J38" s="43">
        <v>43</v>
      </c>
      <c r="K38" s="43">
        <f t="shared" si="0"/>
        <v>57.139700602110139</v>
      </c>
    </row>
    <row r="39" spans="2:11" x14ac:dyDescent="0.3">
      <c r="B39" s="43">
        <v>1</v>
      </c>
      <c r="C39" s="43">
        <v>70</v>
      </c>
      <c r="D39" s="43">
        <v>62</v>
      </c>
      <c r="E39" s="41">
        <v>1</v>
      </c>
      <c r="F39" s="42" cm="1">
        <f t="array" ref="F39:G39">IF(E39,C39:D39, NA())</f>
        <v>70</v>
      </c>
      <c r="G39" s="43">
        <v>62</v>
      </c>
      <c r="H39" s="43" t="e" cm="1">
        <f t="array" ref="H39">IF(E39=0,C39:D39,NA())</f>
        <v>#N/A</v>
      </c>
      <c r="I39" s="43"/>
      <c r="J39" s="43">
        <v>70</v>
      </c>
      <c r="K39" s="43">
        <f t="shared" si="0"/>
        <v>35.365298569297899</v>
      </c>
    </row>
    <row r="40" spans="2:11" x14ac:dyDescent="0.3">
      <c r="B40" s="43">
        <v>1</v>
      </c>
      <c r="C40" s="43">
        <v>100</v>
      </c>
      <c r="D40" s="43">
        <v>96</v>
      </c>
      <c r="E40" s="41">
        <v>1</v>
      </c>
      <c r="F40" s="42" cm="1">
        <f t="array" ref="F40:G40">IF(E40,C40:D40, NA())</f>
        <v>100</v>
      </c>
      <c r="G40" s="43">
        <v>96</v>
      </c>
      <c r="H40" s="43" t="e" cm="1">
        <f t="array" ref="H40">IF(E40=0,C40:D40,NA())</f>
        <v>#N/A</v>
      </c>
      <c r="I40" s="43"/>
      <c r="J40" s="43">
        <v>100</v>
      </c>
      <c r="K40" s="43">
        <f t="shared" si="0"/>
        <v>11.171518532839864</v>
      </c>
    </row>
    <row r="41" spans="2:11" x14ac:dyDescent="0.3">
      <c r="B41" s="43">
        <v>1</v>
      </c>
      <c r="C41" s="43">
        <v>64</v>
      </c>
      <c r="D41" s="43">
        <v>56</v>
      </c>
      <c r="E41" s="41">
        <v>1</v>
      </c>
      <c r="F41" s="42" cm="1">
        <f t="array" ref="F41:G41">IF(E41,C41:D41, NA())</f>
        <v>64</v>
      </c>
      <c r="G41" s="43">
        <v>56</v>
      </c>
      <c r="H41" s="43" t="e" cm="1">
        <f t="array" ref="H41">IF(E41=0,C41:D41,NA())</f>
        <v>#N/A</v>
      </c>
      <c r="I41" s="43"/>
      <c r="J41" s="43">
        <v>64</v>
      </c>
      <c r="K41" s="43">
        <f t="shared" si="0"/>
        <v>40.204054576589513</v>
      </c>
    </row>
    <row r="42" spans="2:11" x14ac:dyDescent="0.3">
      <c r="B42" s="43">
        <v>1</v>
      </c>
      <c r="C42" s="43">
        <v>79</v>
      </c>
      <c r="D42" s="43">
        <v>82</v>
      </c>
      <c r="E42" s="41">
        <v>1</v>
      </c>
      <c r="F42" s="42" cm="1">
        <f t="array" ref="F42:G42">IF(E42,C42:D42, NA())</f>
        <v>79</v>
      </c>
      <c r="G42" s="43">
        <v>82</v>
      </c>
      <c r="H42" s="43" t="e" cm="1">
        <f t="array" ref="H42">IF(E42=0,C42:D42,NA())</f>
        <v>#N/A</v>
      </c>
      <c r="I42" s="43"/>
      <c r="J42" s="43">
        <v>79</v>
      </c>
      <c r="K42" s="43">
        <f t="shared" si="0"/>
        <v>28.107164558360491</v>
      </c>
    </row>
    <row r="43" spans="2:11" x14ac:dyDescent="0.3">
      <c r="B43" s="43">
        <v>1</v>
      </c>
      <c r="C43" s="43">
        <v>48</v>
      </c>
      <c r="D43" s="43">
        <v>91</v>
      </c>
      <c r="E43" s="41">
        <v>1</v>
      </c>
      <c r="F43" s="42" cm="1">
        <f t="array" ref="F43:G43">IF(E43,C43:D43, NA())</f>
        <v>48</v>
      </c>
      <c r="G43" s="43">
        <v>91</v>
      </c>
      <c r="H43" s="43" t="e" cm="1">
        <f t="array" ref="H43">IF(E43=0,C43:D43,NA())</f>
        <v>#N/A</v>
      </c>
      <c r="I43" s="43"/>
      <c r="J43" s="43">
        <v>48</v>
      </c>
      <c r="K43" s="43">
        <f t="shared" si="0"/>
        <v>53.107403929367138</v>
      </c>
    </row>
    <row r="44" spans="2:11" x14ac:dyDescent="0.3">
      <c r="B44" s="43">
        <v>1</v>
      </c>
      <c r="C44" s="43">
        <v>82</v>
      </c>
      <c r="D44" s="43">
        <v>79</v>
      </c>
      <c r="E44" s="41">
        <v>1</v>
      </c>
      <c r="F44" s="42" cm="1">
        <f t="array" ref="F44:G44">IF(E44,C44:D44, NA())</f>
        <v>82</v>
      </c>
      <c r="G44" s="43">
        <v>79</v>
      </c>
      <c r="H44" s="43" t="e" cm="1">
        <f t="array" ref="H44">IF(E44=0,C44:D44,NA())</f>
        <v>#N/A</v>
      </c>
      <c r="I44" s="43"/>
      <c r="J44" s="43">
        <v>82</v>
      </c>
      <c r="K44" s="43">
        <f t="shared" si="0"/>
        <v>25.687786554714684</v>
      </c>
    </row>
    <row r="45" spans="2:11" x14ac:dyDescent="0.3">
      <c r="B45" s="43">
        <v>1</v>
      </c>
      <c r="C45" s="43">
        <v>44</v>
      </c>
      <c r="D45" s="43">
        <v>52</v>
      </c>
      <c r="E45" s="41">
        <v>1</v>
      </c>
      <c r="F45" s="42" cm="1">
        <f t="array" ref="F45:G45">IF(E45,C45:D45, NA())</f>
        <v>44</v>
      </c>
      <c r="G45" s="43">
        <v>52</v>
      </c>
      <c r="H45" s="43" t="e" cm="1">
        <f t="array" ref="H45">IF(E45=0,C45:D45,NA())</f>
        <v>#N/A</v>
      </c>
      <c r="I45" s="43"/>
      <c r="J45" s="43">
        <v>44</v>
      </c>
      <c r="K45" s="43">
        <f t="shared" si="0"/>
        <v>56.333241267561533</v>
      </c>
    </row>
    <row r="46" spans="2:11" x14ac:dyDescent="0.3">
      <c r="B46" s="43">
        <v>1</v>
      </c>
      <c r="C46" s="43">
        <v>50</v>
      </c>
      <c r="D46" s="43">
        <v>45</v>
      </c>
      <c r="E46" s="41">
        <v>1</v>
      </c>
      <c r="F46" s="42" cm="1">
        <f t="array" ref="F46:G46">IF(E46,C46:D46, NA())</f>
        <v>50</v>
      </c>
      <c r="G46" s="43">
        <v>45</v>
      </c>
      <c r="H46" s="43" t="e" cm="1">
        <f t="array" ref="H46">IF(E46=0,C46:D46,NA())</f>
        <v>#N/A</v>
      </c>
      <c r="I46" s="43"/>
      <c r="J46" s="43">
        <v>50</v>
      </c>
      <c r="K46" s="43">
        <f t="shared" si="0"/>
        <v>51.494485260269933</v>
      </c>
    </row>
    <row r="47" spans="2:11" x14ac:dyDescent="0.3">
      <c r="B47" s="43">
        <v>1</v>
      </c>
      <c r="C47" s="43">
        <v>95</v>
      </c>
      <c r="D47" s="43">
        <v>53</v>
      </c>
      <c r="E47" s="41">
        <v>1</v>
      </c>
      <c r="F47" s="42" cm="1">
        <f t="array" ref="F47:G47">IF(E47,C47:D47, NA())</f>
        <v>95</v>
      </c>
      <c r="G47" s="43">
        <v>53</v>
      </c>
      <c r="H47" s="43" t="e" cm="1">
        <f t="array" ref="H47">IF(E47=0,C47:D47,NA())</f>
        <v>#N/A</v>
      </c>
      <c r="I47" s="43"/>
      <c r="J47" s="43">
        <v>95</v>
      </c>
      <c r="K47" s="43">
        <f t="shared" si="0"/>
        <v>15.203815205582867</v>
      </c>
    </row>
    <row r="48" spans="2:11" x14ac:dyDescent="0.3">
      <c r="B48" s="43">
        <v>1</v>
      </c>
      <c r="C48" s="43">
        <v>28</v>
      </c>
      <c r="D48" s="43">
        <v>45</v>
      </c>
      <c r="E48" s="41">
        <v>0</v>
      </c>
      <c r="F48" s="42" t="e" cm="1">
        <f t="array" ref="F48">IF(E48,C48:D48, NA())</f>
        <v>#N/A</v>
      </c>
      <c r="G48" s="43"/>
      <c r="H48" s="43" cm="1">
        <f t="array" ref="H48:I48">IF(E48=0,C48:D48,NA())</f>
        <v>28</v>
      </c>
      <c r="I48" s="43">
        <v>45</v>
      </c>
      <c r="J48" s="43">
        <v>28</v>
      </c>
      <c r="K48" s="43">
        <f t="shared" si="0"/>
        <v>69.236590620339157</v>
      </c>
    </row>
    <row r="49" spans="2:11" x14ac:dyDescent="0.3">
      <c r="B49" s="43">
        <v>1</v>
      </c>
      <c r="C49" s="43">
        <v>37</v>
      </c>
      <c r="D49" s="43">
        <v>38</v>
      </c>
      <c r="E49" s="41">
        <v>0</v>
      </c>
      <c r="F49" s="42" t="e" cm="1">
        <f t="array" ref="F49">IF(E49,C49:D49, NA())</f>
        <v>#N/A</v>
      </c>
      <c r="G49" s="43"/>
      <c r="H49" s="43" cm="1">
        <f t="array" ref="H49:I49">IF(E49=0,C49:D49,NA())</f>
        <v>37</v>
      </c>
      <c r="I49" s="43">
        <v>38</v>
      </c>
      <c r="J49" s="43">
        <v>37</v>
      </c>
      <c r="K49" s="43">
        <f t="shared" si="0"/>
        <v>61.978456609401746</v>
      </c>
    </row>
    <row r="50" spans="2:11" x14ac:dyDescent="0.3">
      <c r="B50" s="43">
        <v>1</v>
      </c>
      <c r="C50" s="43">
        <v>71</v>
      </c>
      <c r="D50" s="43">
        <v>81</v>
      </c>
      <c r="E50" s="41">
        <v>1</v>
      </c>
      <c r="F50" s="42" cm="1">
        <f t="array" ref="F50:G50">IF(E50,C50:D50, NA())</f>
        <v>71</v>
      </c>
      <c r="G50" s="43">
        <v>81</v>
      </c>
      <c r="H50" s="43" t="e" cm="1">
        <f t="array" ref="H50">IF(E50=0,C50:D50,NA())</f>
        <v>#N/A</v>
      </c>
      <c r="I50" s="43"/>
      <c r="J50" s="43">
        <v>71</v>
      </c>
      <c r="K50" s="43">
        <f t="shared" si="0"/>
        <v>34.558839234749307</v>
      </c>
    </row>
    <row r="51" spans="2:11" x14ac:dyDescent="0.3">
      <c r="B51" s="43">
        <v>1</v>
      </c>
      <c r="C51" s="43">
        <v>26</v>
      </c>
      <c r="D51" s="43">
        <v>34</v>
      </c>
      <c r="E51" s="41">
        <v>0</v>
      </c>
      <c r="F51" s="42" t="e" cm="1">
        <f t="array" ref="F51">IF(E51,C51:D51, NA())</f>
        <v>#N/A</v>
      </c>
      <c r="G51" s="43"/>
      <c r="H51" s="43" cm="1">
        <f t="array" ref="H51:I51">IF(E51=0,C51:D51,NA())</f>
        <v>26</v>
      </c>
      <c r="I51" s="43">
        <v>34</v>
      </c>
      <c r="J51" s="43">
        <v>26</v>
      </c>
      <c r="K51" s="43">
        <f t="shared" si="0"/>
        <v>70.849509289436369</v>
      </c>
    </row>
    <row r="52" spans="2:11" x14ac:dyDescent="0.3">
      <c r="B52" s="43">
        <v>1</v>
      </c>
      <c r="C52" s="43">
        <v>75</v>
      </c>
      <c r="D52" s="43">
        <v>54</v>
      </c>
      <c r="E52" s="41">
        <v>1</v>
      </c>
      <c r="F52" s="42" cm="1">
        <f t="array" ref="F52:G52">IF(E52,C52:D52, NA())</f>
        <v>75</v>
      </c>
      <c r="G52" s="43">
        <v>54</v>
      </c>
      <c r="H52" s="43" t="e" cm="1">
        <f t="array" ref="H52">IF(E52=0,C52:D52,NA())</f>
        <v>#N/A</v>
      </c>
      <c r="I52" s="43"/>
      <c r="J52" s="43">
        <v>75</v>
      </c>
      <c r="K52" s="43">
        <f t="shared" si="0"/>
        <v>31.333001896554897</v>
      </c>
    </row>
    <row r="53" spans="2:11" x14ac:dyDescent="0.3">
      <c r="B53" s="43">
        <v>1</v>
      </c>
      <c r="C53" s="43">
        <v>35</v>
      </c>
      <c r="D53" s="43">
        <v>98</v>
      </c>
      <c r="E53" s="41">
        <v>1</v>
      </c>
      <c r="F53" s="42" cm="1">
        <f t="array" ref="F53:G53">IF(E53,C53:D53, NA())</f>
        <v>35</v>
      </c>
      <c r="G53" s="43">
        <v>98</v>
      </c>
      <c r="H53" s="43" t="e" cm="1">
        <f t="array" ref="H53">IF(E53=0,C53:D53,NA())</f>
        <v>#N/A</v>
      </c>
      <c r="I53" s="43"/>
      <c r="J53" s="43">
        <v>35</v>
      </c>
      <c r="K53" s="43">
        <f t="shared" si="0"/>
        <v>63.591375278498951</v>
      </c>
    </row>
    <row r="54" spans="2:11" x14ac:dyDescent="0.3">
      <c r="B54" s="43">
        <v>1</v>
      </c>
      <c r="C54" s="43">
        <v>23</v>
      </c>
      <c r="D54" s="43">
        <v>49</v>
      </c>
      <c r="E54" s="41">
        <v>0</v>
      </c>
      <c r="F54" s="42" t="e" cm="1">
        <f t="array" ref="F54">IF(E54,C54:D54, NA())</f>
        <v>#N/A</v>
      </c>
      <c r="G54" s="43"/>
      <c r="H54" s="43" cm="1">
        <f t="array" ref="H54:I54">IF(E54=0,C54:D54,NA())</f>
        <v>23</v>
      </c>
      <c r="I54" s="43">
        <v>49</v>
      </c>
      <c r="J54" s="43">
        <v>23</v>
      </c>
      <c r="K54" s="43">
        <f t="shared" si="0"/>
        <v>73.268887293082173</v>
      </c>
    </row>
    <row r="55" spans="2:11" x14ac:dyDescent="0.3">
      <c r="B55" s="43">
        <v>1</v>
      </c>
      <c r="C55" s="43">
        <v>87</v>
      </c>
      <c r="D55" s="43">
        <v>99</v>
      </c>
      <c r="E55" s="41">
        <v>1</v>
      </c>
      <c r="F55" s="42" cm="1">
        <f t="array" ref="F55:G55">IF(E55,C55:D55, NA())</f>
        <v>87</v>
      </c>
      <c r="G55" s="43">
        <v>99</v>
      </c>
      <c r="H55" s="43" t="e" cm="1">
        <f t="array" ref="H55">IF(E55=0,C55:D55,NA())</f>
        <v>#N/A</v>
      </c>
      <c r="I55" s="43"/>
      <c r="J55" s="43">
        <v>87</v>
      </c>
      <c r="K55" s="43">
        <f t="shared" si="0"/>
        <v>21.655489881971679</v>
      </c>
    </row>
    <row r="56" spans="2:11" x14ac:dyDescent="0.3">
      <c r="B56" s="43">
        <v>1</v>
      </c>
      <c r="C56" s="43">
        <v>92</v>
      </c>
      <c r="D56" s="43">
        <v>76</v>
      </c>
      <c r="E56" s="41">
        <v>1</v>
      </c>
      <c r="F56" s="42" cm="1">
        <f t="array" ref="F56:G56">IF(E56,C56:D56, NA())</f>
        <v>92</v>
      </c>
      <c r="G56" s="43">
        <v>76</v>
      </c>
      <c r="H56" s="43" t="e" cm="1">
        <f t="array" ref="H56">IF(E56=0,C56:D56,NA())</f>
        <v>#N/A</v>
      </c>
      <c r="I56" s="43"/>
      <c r="J56" s="43">
        <v>92</v>
      </c>
      <c r="K56" s="43">
        <f t="shared" si="0"/>
        <v>17.623193209228678</v>
      </c>
    </row>
    <row r="57" spans="2:11" x14ac:dyDescent="0.3">
      <c r="B57" s="43">
        <v>1</v>
      </c>
      <c r="C57" s="43">
        <v>37</v>
      </c>
      <c r="D57" s="43">
        <v>71</v>
      </c>
      <c r="E57" s="41">
        <v>1</v>
      </c>
      <c r="F57" s="42" cm="1">
        <f t="array" ref="F57:G57">IF(E57,C57:D57, NA())</f>
        <v>37</v>
      </c>
      <c r="G57" s="43">
        <v>71</v>
      </c>
      <c r="H57" s="43" t="e" cm="1">
        <f t="array" ref="H57">IF(E57=0,C57:D57,NA())</f>
        <v>#N/A</v>
      </c>
      <c r="I57" s="43"/>
      <c r="J57" s="43">
        <v>37</v>
      </c>
      <c r="K57" s="43">
        <f t="shared" si="0"/>
        <v>61.978456609401746</v>
      </c>
    </row>
    <row r="58" spans="2:11" x14ac:dyDescent="0.3">
      <c r="B58" s="43">
        <v>1</v>
      </c>
      <c r="C58" s="43">
        <v>45</v>
      </c>
      <c r="D58" s="43">
        <v>74</v>
      </c>
      <c r="E58" s="41">
        <v>1</v>
      </c>
      <c r="F58" s="42" cm="1">
        <f t="array" ref="F58:G58">IF(E58,C58:D58, NA())</f>
        <v>45</v>
      </c>
      <c r="G58" s="43">
        <v>74</v>
      </c>
      <c r="H58" s="43" t="e" cm="1">
        <f t="array" ref="H58">IF(E58=0,C58:D58,NA())</f>
        <v>#N/A</v>
      </c>
      <c r="I58" s="43"/>
      <c r="J58" s="43">
        <v>45</v>
      </c>
      <c r="K58" s="43">
        <f t="shared" si="0"/>
        <v>55.526781933012934</v>
      </c>
    </row>
    <row r="59" spans="2:11" x14ac:dyDescent="0.3">
      <c r="B59" s="43">
        <v>1</v>
      </c>
      <c r="C59" s="43">
        <v>42</v>
      </c>
      <c r="D59" s="43">
        <v>59</v>
      </c>
      <c r="E59" s="41">
        <v>1</v>
      </c>
      <c r="F59" s="42" cm="1">
        <f t="array" ref="F59:G59">IF(E59,C59:D59, NA())</f>
        <v>42</v>
      </c>
      <c r="G59" s="43">
        <v>59</v>
      </c>
      <c r="H59" s="43" t="e" cm="1">
        <f t="array" ref="H59">IF(E59=0,C59:D59,NA())</f>
        <v>#N/A</v>
      </c>
      <c r="I59" s="43"/>
      <c r="J59" s="43">
        <v>42</v>
      </c>
      <c r="K59" s="43">
        <f t="shared" si="0"/>
        <v>57.946159936658745</v>
      </c>
    </row>
    <row r="60" spans="2:11" x14ac:dyDescent="0.3">
      <c r="B60" s="43">
        <v>1</v>
      </c>
      <c r="C60" s="43">
        <v>31</v>
      </c>
      <c r="D60" s="43">
        <v>45</v>
      </c>
      <c r="E60" s="41">
        <v>0</v>
      </c>
      <c r="F60" s="42" t="e" cm="1">
        <f t="array" ref="F60">IF(E60,C60:D60, NA())</f>
        <v>#N/A</v>
      </c>
      <c r="G60" s="43"/>
      <c r="H60" s="43" cm="1">
        <f t="array" ref="H60:I60">IF(E60=0,C60:D60,NA())</f>
        <v>31</v>
      </c>
      <c r="I60" s="43">
        <v>45</v>
      </c>
      <c r="J60" s="43">
        <v>31</v>
      </c>
      <c r="K60" s="43">
        <f t="shared" si="0"/>
        <v>66.817212616693354</v>
      </c>
    </row>
    <row r="61" spans="2:11" x14ac:dyDescent="0.3">
      <c r="B61" s="43">
        <v>1</v>
      </c>
      <c r="C61" s="43">
        <v>47</v>
      </c>
      <c r="D61" s="43">
        <v>52</v>
      </c>
      <c r="E61" s="41">
        <v>1</v>
      </c>
      <c r="F61" s="42" cm="1">
        <f t="array" ref="F61:G61">IF(E61,C61:D61, NA())</f>
        <v>47</v>
      </c>
      <c r="G61" s="43">
        <v>52</v>
      </c>
      <c r="H61" s="43" t="e" cm="1">
        <f t="array" ref="H61">IF(E61=0,C61:D61,NA())</f>
        <v>#N/A</v>
      </c>
      <c r="I61" s="43"/>
      <c r="J61" s="43">
        <v>47</v>
      </c>
      <c r="K61" s="43">
        <f t="shared" si="0"/>
        <v>53.913863263915736</v>
      </c>
    </row>
    <row r="62" spans="2:11" x14ac:dyDescent="0.3">
      <c r="B62" s="43">
        <v>1</v>
      </c>
      <c r="C62" s="43">
        <v>68</v>
      </c>
      <c r="D62" s="43">
        <v>66</v>
      </c>
      <c r="E62" s="41">
        <v>1</v>
      </c>
      <c r="F62" s="42" cm="1">
        <f t="array" ref="F62:G62">IF(E62,C62:D62, NA())</f>
        <v>68</v>
      </c>
      <c r="G62" s="43">
        <v>66</v>
      </c>
      <c r="H62" s="43" t="e" cm="1">
        <f t="array" ref="H62">IF(E62=0,C62:D62,NA())</f>
        <v>#N/A</v>
      </c>
      <c r="I62" s="43"/>
      <c r="J62" s="43">
        <v>68</v>
      </c>
      <c r="K62" s="43">
        <f t="shared" si="0"/>
        <v>36.978217238395104</v>
      </c>
    </row>
    <row r="63" spans="2:11" x14ac:dyDescent="0.3">
      <c r="B63" s="43">
        <v>1</v>
      </c>
      <c r="C63" s="43">
        <v>76</v>
      </c>
      <c r="D63" s="43">
        <v>49</v>
      </c>
      <c r="E63" s="41">
        <v>1</v>
      </c>
      <c r="F63" s="42" cm="1">
        <f t="array" ref="F63:G63">IF(E63,C63:D63, NA())</f>
        <v>76</v>
      </c>
      <c r="G63" s="43">
        <v>49</v>
      </c>
      <c r="H63" s="43" t="e" cm="1">
        <f t="array" ref="H63">IF(E63=0,C63:D63,NA())</f>
        <v>#N/A</v>
      </c>
      <c r="I63" s="43"/>
      <c r="J63" s="43">
        <v>76</v>
      </c>
      <c r="K63" s="43">
        <f t="shared" si="0"/>
        <v>30.526542562006291</v>
      </c>
    </row>
    <row r="64" spans="2:11" x14ac:dyDescent="0.3">
      <c r="B64" s="43">
        <v>1</v>
      </c>
      <c r="C64" s="43">
        <v>86</v>
      </c>
      <c r="D64" s="43">
        <v>51</v>
      </c>
      <c r="E64" s="41">
        <v>1</v>
      </c>
      <c r="F64" s="42" cm="1">
        <f t="array" ref="F64:G64">IF(E64,C64:D64, NA())</f>
        <v>86</v>
      </c>
      <c r="G64" s="43">
        <v>51</v>
      </c>
      <c r="H64" s="43" t="e" cm="1">
        <f t="array" ref="H64">IF(E64=0,C64:D64,NA())</f>
        <v>#N/A</v>
      </c>
      <c r="I64" s="43"/>
      <c r="J64" s="43">
        <v>86</v>
      </c>
      <c r="K64" s="43">
        <f t="shared" si="0"/>
        <v>22.461949216520278</v>
      </c>
    </row>
    <row r="65" spans="2:11" x14ac:dyDescent="0.3">
      <c r="B65" s="43">
        <v>1</v>
      </c>
      <c r="C65" s="43">
        <v>60</v>
      </c>
      <c r="D65" s="43">
        <v>93</v>
      </c>
      <c r="E65" s="41">
        <v>1</v>
      </c>
      <c r="F65" s="42" cm="1">
        <f t="array" ref="F65:G65">IF(E65,C65:D65, NA())</f>
        <v>60</v>
      </c>
      <c r="G65" s="43">
        <v>93</v>
      </c>
      <c r="H65" s="43" t="e" cm="1">
        <f t="array" ref="H65">IF(E65=0,C65:D65,NA())</f>
        <v>#N/A</v>
      </c>
      <c r="I65" s="43"/>
      <c r="J65" s="43">
        <v>60</v>
      </c>
      <c r="K65" s="43">
        <f t="shared" si="0"/>
        <v>43.429891914783916</v>
      </c>
    </row>
    <row r="66" spans="2:11" x14ac:dyDescent="0.3">
      <c r="B66" s="43">
        <v>1</v>
      </c>
      <c r="C66" s="43">
        <v>33</v>
      </c>
      <c r="D66" s="43">
        <v>70</v>
      </c>
      <c r="E66" s="41">
        <v>0</v>
      </c>
      <c r="F66" s="42" t="e" cm="1">
        <f t="array" ref="F66">IF(E66,C66:D66, NA())</f>
        <v>#N/A</v>
      </c>
      <c r="G66" s="43"/>
      <c r="H66" s="43" cm="1">
        <f t="array" ref="H66:I66">IF(E66=0,C66:D66,NA())</f>
        <v>33</v>
      </c>
      <c r="I66" s="43">
        <v>70</v>
      </c>
      <c r="J66" s="43">
        <v>33</v>
      </c>
      <c r="K66" s="43">
        <f t="shared" si="0"/>
        <v>65.204293947596156</v>
      </c>
    </row>
    <row r="67" spans="2:11" x14ac:dyDescent="0.3">
      <c r="B67" s="43">
        <v>1</v>
      </c>
      <c r="C67" s="43">
        <v>56</v>
      </c>
      <c r="D67" s="43">
        <v>37</v>
      </c>
      <c r="E67" s="41">
        <v>1</v>
      </c>
      <c r="F67" s="42" cm="1">
        <f t="array" ref="F67:G67">IF(E67,C67:D67, NA())</f>
        <v>56</v>
      </c>
      <c r="G67" s="43">
        <v>37</v>
      </c>
      <c r="H67" s="43" t="e" cm="1">
        <f t="array" ref="H67">IF(E67=0,C67:D67,NA())</f>
        <v>#N/A</v>
      </c>
      <c r="I67" s="43"/>
      <c r="J67" s="43">
        <v>56</v>
      </c>
      <c r="K67" s="43">
        <f t="shared" si="0"/>
        <v>46.655729252978325</v>
      </c>
    </row>
    <row r="68" spans="2:11" x14ac:dyDescent="0.3">
      <c r="B68" s="43">
        <v>1</v>
      </c>
      <c r="C68" s="43">
        <v>78</v>
      </c>
      <c r="D68" s="43">
        <v>25</v>
      </c>
      <c r="E68" s="41">
        <v>0</v>
      </c>
      <c r="F68" s="42" t="e" cm="1">
        <f t="array" ref="F68">IF(E68,C68:D68, NA())</f>
        <v>#N/A</v>
      </c>
      <c r="G68" s="43"/>
      <c r="H68" s="43" cm="1">
        <f t="array" ref="H68:I68">IF(E68=0,C68:D68,NA())</f>
        <v>78</v>
      </c>
      <c r="I68" s="43">
        <v>25</v>
      </c>
      <c r="J68" s="43">
        <v>78</v>
      </c>
      <c r="K68" s="43">
        <f t="shared" si="0"/>
        <v>28.91362389290909</v>
      </c>
    </row>
    <row r="69" spans="2:11" x14ac:dyDescent="0.3">
      <c r="B69" s="43">
        <v>1</v>
      </c>
      <c r="C69" s="43">
        <v>51</v>
      </c>
      <c r="D69" s="43">
        <v>71</v>
      </c>
      <c r="E69" s="41">
        <v>1</v>
      </c>
      <c r="F69" s="42" cm="1">
        <f t="array" ref="F69:G69">IF(E69,C69:D69, NA())</f>
        <v>51</v>
      </c>
      <c r="G69" s="43">
        <v>71</v>
      </c>
      <c r="H69" s="43" t="e" cm="1">
        <f t="array" ref="H69">IF(E69=0,C69:D69,NA())</f>
        <v>#N/A</v>
      </c>
      <c r="I69" s="43"/>
      <c r="J69" s="43">
        <v>51</v>
      </c>
      <c r="K69" s="43">
        <f t="shared" si="0"/>
        <v>50.688025925721327</v>
      </c>
    </row>
    <row r="70" spans="2:11" x14ac:dyDescent="0.3">
      <c r="B70" s="43">
        <v>1</v>
      </c>
      <c r="C70" s="43">
        <v>40</v>
      </c>
      <c r="D70" s="43">
        <v>99</v>
      </c>
      <c r="E70" s="41">
        <v>1</v>
      </c>
      <c r="F70" s="42" cm="1">
        <f t="array" ref="F70:G70">IF(E70,C70:D70, NA())</f>
        <v>40</v>
      </c>
      <c r="G70" s="43">
        <v>99</v>
      </c>
      <c r="H70" s="43" t="e" cm="1">
        <f t="array" ref="H70">IF(E70=0,C70:D70,NA())</f>
        <v>#N/A</v>
      </c>
      <c r="I70" s="43"/>
      <c r="J70" s="43">
        <v>40</v>
      </c>
      <c r="K70" s="43">
        <f t="shared" si="0"/>
        <v>59.559078605755943</v>
      </c>
    </row>
    <row r="71" spans="2:11" x14ac:dyDescent="0.3">
      <c r="B71" s="43">
        <v>1</v>
      </c>
      <c r="C71" s="43">
        <v>36</v>
      </c>
      <c r="D71" s="43">
        <v>55</v>
      </c>
      <c r="E71" s="41">
        <v>0</v>
      </c>
      <c r="F71" s="42" t="e" cm="1">
        <f t="array" ref="F71">IF(E71,C71:D71, NA())</f>
        <v>#N/A</v>
      </c>
      <c r="G71" s="43"/>
      <c r="H71" s="43" cm="1">
        <f t="array" ref="H71:I71">IF(E71=0,C71:D71,NA())</f>
        <v>36</v>
      </c>
      <c r="I71" s="43">
        <v>55</v>
      </c>
      <c r="J71" s="43">
        <v>36</v>
      </c>
      <c r="K71" s="43">
        <f t="shared" si="0"/>
        <v>62.784915943950345</v>
      </c>
    </row>
    <row r="72" spans="2:11" x14ac:dyDescent="0.3">
      <c r="B72" s="43">
        <v>1</v>
      </c>
      <c r="C72" s="43">
        <v>51</v>
      </c>
      <c r="D72" s="43">
        <v>38</v>
      </c>
      <c r="E72" s="41">
        <v>1</v>
      </c>
      <c r="F72" s="42" cm="1">
        <f t="array" ref="F72:G72">IF(E72,C72:D72, NA())</f>
        <v>51</v>
      </c>
      <c r="G72" s="43">
        <v>38</v>
      </c>
      <c r="H72" s="43" t="e" cm="1">
        <f t="array" ref="H72">IF(E72=0,C72:D72,NA())</f>
        <v>#N/A</v>
      </c>
      <c r="I72" s="43"/>
      <c r="J72" s="43">
        <v>51</v>
      </c>
      <c r="K72" s="43">
        <f t="shared" si="0"/>
        <v>50.688025925721327</v>
      </c>
    </row>
    <row r="73" spans="2:11" x14ac:dyDescent="0.3">
      <c r="B73" s="43">
        <v>1</v>
      </c>
      <c r="C73" s="43">
        <v>46</v>
      </c>
      <c r="D73" s="43">
        <v>100</v>
      </c>
      <c r="E73" s="41">
        <v>1</v>
      </c>
      <c r="F73" s="42" cm="1">
        <f t="array" ref="F73:G73">IF(E73,C73:D73, NA())</f>
        <v>46</v>
      </c>
      <c r="G73" s="43">
        <v>100</v>
      </c>
      <c r="H73" s="43" t="e" cm="1">
        <f t="array" ref="H73">IF(E73=0,C73:D73,NA())</f>
        <v>#N/A</v>
      </c>
      <c r="I73" s="43"/>
      <c r="J73" s="43">
        <v>46</v>
      </c>
      <c r="K73" s="43">
        <f t="shared" si="0"/>
        <v>54.720322598464335</v>
      </c>
    </row>
    <row r="74" spans="2:11" x14ac:dyDescent="0.3">
      <c r="B74" s="43">
        <v>1</v>
      </c>
      <c r="C74" s="43">
        <v>36</v>
      </c>
      <c r="D74" s="43">
        <v>49</v>
      </c>
      <c r="E74" s="41">
        <v>0</v>
      </c>
      <c r="F74" s="42" t="e" cm="1">
        <f t="array" ref="F74">IF(E74,C74:D74, NA())</f>
        <v>#N/A</v>
      </c>
      <c r="G74" s="43"/>
      <c r="H74" s="43" cm="1">
        <f t="array" ref="H74:I74">IF(E74=0,C74:D74,NA())</f>
        <v>36</v>
      </c>
      <c r="I74" s="43">
        <v>49</v>
      </c>
      <c r="J74" s="43">
        <v>36</v>
      </c>
      <c r="K74" s="43">
        <f t="shared" si="0"/>
        <v>62.784915943950345</v>
      </c>
    </row>
    <row r="75" spans="2:11" x14ac:dyDescent="0.3">
      <c r="B75" s="43">
        <v>1</v>
      </c>
      <c r="C75" s="43">
        <v>38</v>
      </c>
      <c r="D75" s="43">
        <v>56</v>
      </c>
      <c r="E75" s="41">
        <v>0</v>
      </c>
      <c r="F75" s="42" t="e" cm="1">
        <f t="array" ref="F75">IF(E75,C75:D75, NA())</f>
        <v>#N/A</v>
      </c>
      <c r="G75" s="43"/>
      <c r="H75" s="43" cm="1">
        <f t="array" ref="H75:I75">IF(E75=0,C75:D75,NA())</f>
        <v>38</v>
      </c>
      <c r="I75" s="43">
        <v>56</v>
      </c>
      <c r="J75" s="43">
        <v>38</v>
      </c>
      <c r="K75" s="43">
        <f t="shared" si="0"/>
        <v>61.171997274853155</v>
      </c>
    </row>
    <row r="76" spans="2:11" x14ac:dyDescent="0.3">
      <c r="B76" s="43">
        <v>1</v>
      </c>
      <c r="C76" s="43">
        <v>96</v>
      </c>
      <c r="D76" s="43">
        <v>46</v>
      </c>
      <c r="E76" s="41">
        <v>1</v>
      </c>
      <c r="F76" s="42" cm="1">
        <f t="array" ref="F76:G76">IF(E76,C76:D76, NA())</f>
        <v>96</v>
      </c>
      <c r="G76" s="43">
        <v>46</v>
      </c>
      <c r="H76" s="43" t="e" cm="1">
        <f t="array" ref="H76">IF(E76=0,C76:D76,NA())</f>
        <v>#N/A</v>
      </c>
      <c r="I76" s="43"/>
      <c r="J76" s="43">
        <v>96</v>
      </c>
      <c r="K76" s="43">
        <f t="shared" si="0"/>
        <v>14.39735587103427</v>
      </c>
    </row>
    <row r="77" spans="2:11" x14ac:dyDescent="0.3">
      <c r="B77" s="43">
        <v>1</v>
      </c>
      <c r="C77" s="43">
        <v>97</v>
      </c>
      <c r="D77" s="43">
        <v>26</v>
      </c>
      <c r="E77" s="41">
        <v>0</v>
      </c>
      <c r="F77" s="42" t="e" cm="1">
        <f t="array" ref="F77">IF(E77,C77:D77, NA())</f>
        <v>#N/A</v>
      </c>
      <c r="G77" s="43"/>
      <c r="H77" s="43" cm="1">
        <f t="array" ref="H77:I77">IF(E77=0,C77:D77,NA())</f>
        <v>97</v>
      </c>
      <c r="I77" s="43">
        <v>26</v>
      </c>
      <c r="J77" s="43">
        <v>97</v>
      </c>
      <c r="K77" s="43">
        <f t="shared" si="0"/>
        <v>13.590896536485673</v>
      </c>
    </row>
    <row r="78" spans="2:11" x14ac:dyDescent="0.3">
      <c r="B78" s="43">
        <v>1</v>
      </c>
      <c r="C78" s="43">
        <v>95</v>
      </c>
      <c r="D78" s="43">
        <v>21</v>
      </c>
      <c r="E78" s="41">
        <v>0</v>
      </c>
      <c r="F78" s="42" t="e" cm="1">
        <f t="array" ref="F78">IF(E78,C78:D78, NA())</f>
        <v>#N/A</v>
      </c>
      <c r="G78" s="43"/>
      <c r="H78" s="43" cm="1">
        <f t="array" ref="H78:I78">IF(E78=0,C78:D78,NA())</f>
        <v>95</v>
      </c>
      <c r="I78" s="43">
        <v>21</v>
      </c>
      <c r="J78" s="43">
        <v>95</v>
      </c>
      <c r="K78" s="43">
        <f t="shared" si="0"/>
        <v>15.203815205582867</v>
      </c>
    </row>
    <row r="79" spans="2:11" x14ac:dyDescent="0.3">
      <c r="B79" s="43">
        <v>1</v>
      </c>
      <c r="C79" s="43">
        <v>54</v>
      </c>
      <c r="D79" s="43">
        <v>34</v>
      </c>
      <c r="E79" s="41">
        <v>0</v>
      </c>
      <c r="F79" s="42" t="e" cm="1">
        <f t="array" ref="F79">IF(E79,C79:D79, NA())</f>
        <v>#N/A</v>
      </c>
      <c r="G79" s="43"/>
      <c r="H79" s="43" cm="1">
        <f t="array" ref="H79:I79">IF(E79=0,C79:D79,NA())</f>
        <v>54</v>
      </c>
      <c r="I79" s="43">
        <v>34</v>
      </c>
      <c r="J79" s="43">
        <v>54</v>
      </c>
      <c r="K79" s="43">
        <f t="shared" ref="K79:K113" si="1">-($D$4+$E$4*C79)/$F$4+$K$9</f>
        <v>48.268647922075523</v>
      </c>
    </row>
    <row r="80" spans="2:11" x14ac:dyDescent="0.3">
      <c r="B80" s="43">
        <v>1</v>
      </c>
      <c r="C80" s="43">
        <v>34</v>
      </c>
      <c r="D80" s="43">
        <v>87</v>
      </c>
      <c r="E80" s="41">
        <v>1</v>
      </c>
      <c r="F80" s="42" cm="1">
        <f t="array" ref="F80:G80">IF(E80,C80:D80, NA())</f>
        <v>34</v>
      </c>
      <c r="G80" s="43">
        <v>87</v>
      </c>
      <c r="H80" s="43" t="e" cm="1">
        <f t="array" ref="H80">IF(E80=0,C80:D80,NA())</f>
        <v>#N/A</v>
      </c>
      <c r="I80" s="43"/>
      <c r="J80" s="43">
        <v>34</v>
      </c>
      <c r="K80" s="43">
        <f t="shared" si="1"/>
        <v>64.397834613047564</v>
      </c>
    </row>
    <row r="81" spans="2:11" x14ac:dyDescent="0.3">
      <c r="B81" s="43">
        <v>1</v>
      </c>
      <c r="C81" s="43">
        <v>94</v>
      </c>
      <c r="D81" s="43">
        <v>25</v>
      </c>
      <c r="E81" s="41">
        <v>0</v>
      </c>
      <c r="F81" s="42" t="e" cm="1">
        <f t="array" ref="F81">IF(E81,C81:D81, NA())</f>
        <v>#N/A</v>
      </c>
      <c r="G81" s="43"/>
      <c r="H81" s="43" cm="1">
        <f t="array" ref="H81:I81">IF(E81=0,C81:D81,NA())</f>
        <v>94</v>
      </c>
      <c r="I81" s="43">
        <v>25</v>
      </c>
      <c r="J81" s="43">
        <v>94</v>
      </c>
      <c r="K81" s="43">
        <f t="shared" si="1"/>
        <v>16.010274540131466</v>
      </c>
    </row>
    <row r="82" spans="2:11" x14ac:dyDescent="0.3">
      <c r="B82" s="43">
        <v>1</v>
      </c>
      <c r="C82" s="43">
        <v>65</v>
      </c>
      <c r="D82" s="43">
        <v>27</v>
      </c>
      <c r="E82" s="41">
        <v>0</v>
      </c>
      <c r="F82" s="42" t="e" cm="1">
        <f t="array" ref="F82">IF(E82,C82:D82, NA())</f>
        <v>#N/A</v>
      </c>
      <c r="G82" s="43"/>
      <c r="H82" s="43" cm="1">
        <f t="array" ref="H82:I82">IF(E82=0,C82:D82,NA())</f>
        <v>65</v>
      </c>
      <c r="I82" s="43">
        <v>27</v>
      </c>
      <c r="J82" s="43">
        <v>65</v>
      </c>
      <c r="K82" s="43">
        <f t="shared" si="1"/>
        <v>39.397595242040914</v>
      </c>
    </row>
    <row r="83" spans="2:11" x14ac:dyDescent="0.3">
      <c r="B83" s="43">
        <v>1</v>
      </c>
      <c r="C83" s="43">
        <v>97</v>
      </c>
      <c r="D83" s="43">
        <v>82</v>
      </c>
      <c r="E83" s="41">
        <v>1</v>
      </c>
      <c r="F83" s="42" cm="1">
        <f t="array" ref="F83:G83">IF(E83,C83:D83, NA())</f>
        <v>97</v>
      </c>
      <c r="G83" s="43">
        <v>82</v>
      </c>
      <c r="H83" s="43" t="e" cm="1">
        <f t="array" ref="H83">IF(E83=0,C83:D83,NA())</f>
        <v>#N/A</v>
      </c>
      <c r="I83" s="43"/>
      <c r="J83" s="43">
        <v>97</v>
      </c>
      <c r="K83" s="43">
        <f t="shared" si="1"/>
        <v>13.590896536485673</v>
      </c>
    </row>
    <row r="84" spans="2:11" x14ac:dyDescent="0.3">
      <c r="B84" s="43">
        <v>1</v>
      </c>
      <c r="C84" s="43">
        <v>51</v>
      </c>
      <c r="D84" s="43">
        <v>98</v>
      </c>
      <c r="E84" s="41">
        <v>1</v>
      </c>
      <c r="F84" s="42" cm="1">
        <f t="array" ref="F84:G84">IF(E84,C84:D84, NA())</f>
        <v>51</v>
      </c>
      <c r="G84" s="43">
        <v>98</v>
      </c>
      <c r="H84" s="43" t="e" cm="1">
        <f t="array" ref="H84">IF(E84=0,C84:D84,NA())</f>
        <v>#N/A</v>
      </c>
      <c r="I84" s="43"/>
      <c r="J84" s="43">
        <v>51</v>
      </c>
      <c r="K84" s="43">
        <f t="shared" si="1"/>
        <v>50.688025925721327</v>
      </c>
    </row>
    <row r="85" spans="2:11" x14ac:dyDescent="0.3">
      <c r="B85" s="43">
        <v>1</v>
      </c>
      <c r="C85" s="43">
        <v>37</v>
      </c>
      <c r="D85" s="43">
        <v>63</v>
      </c>
      <c r="E85" s="41">
        <v>0</v>
      </c>
      <c r="F85" s="42" t="e" cm="1">
        <f t="array" ref="F85">IF(E85,C85:D85, NA())</f>
        <v>#N/A</v>
      </c>
      <c r="G85" s="43"/>
      <c r="H85" s="43" cm="1">
        <f t="array" ref="H85:I85">IF(E85=0,C85:D85,NA())</f>
        <v>37</v>
      </c>
      <c r="I85" s="43">
        <v>63</v>
      </c>
      <c r="J85" s="43">
        <v>37</v>
      </c>
      <c r="K85" s="43">
        <f t="shared" si="1"/>
        <v>61.978456609401746</v>
      </c>
    </row>
    <row r="86" spans="2:11" x14ac:dyDescent="0.3">
      <c r="B86" s="43">
        <v>1</v>
      </c>
      <c r="C86" s="43">
        <v>77</v>
      </c>
      <c r="D86" s="43">
        <v>93</v>
      </c>
      <c r="E86" s="41">
        <v>1</v>
      </c>
      <c r="F86" s="42" cm="1">
        <f t="array" ref="F86:G86">IF(E86,C86:D86, NA())</f>
        <v>77</v>
      </c>
      <c r="G86" s="43">
        <v>93</v>
      </c>
      <c r="H86" s="43" t="e" cm="1">
        <f t="array" ref="H86">IF(E86=0,C86:D86,NA())</f>
        <v>#N/A</v>
      </c>
      <c r="I86" s="43"/>
      <c r="J86" s="43">
        <v>77</v>
      </c>
      <c r="K86" s="43">
        <f t="shared" si="1"/>
        <v>29.720083227457696</v>
      </c>
    </row>
    <row r="87" spans="2:11" x14ac:dyDescent="0.3">
      <c r="B87" s="43">
        <v>1</v>
      </c>
      <c r="C87" s="43">
        <v>31</v>
      </c>
      <c r="D87" s="43">
        <v>52</v>
      </c>
      <c r="E87" s="41">
        <v>0</v>
      </c>
      <c r="F87" s="42" t="e" cm="1">
        <f t="array" ref="F87">IF(E87,C87:D87, NA())</f>
        <v>#N/A</v>
      </c>
      <c r="G87" s="43"/>
      <c r="H87" s="43" cm="1">
        <f t="array" ref="H87:I87">IF(E87=0,C87:D87,NA())</f>
        <v>31</v>
      </c>
      <c r="I87" s="43">
        <v>52</v>
      </c>
      <c r="J87" s="43">
        <v>31</v>
      </c>
      <c r="K87" s="43">
        <f t="shared" si="1"/>
        <v>66.817212616693354</v>
      </c>
    </row>
    <row r="88" spans="2:11" x14ac:dyDescent="0.3">
      <c r="B88" s="43">
        <v>1</v>
      </c>
      <c r="C88" s="43">
        <v>59</v>
      </c>
      <c r="D88" s="43">
        <v>60</v>
      </c>
      <c r="E88" s="41">
        <v>1</v>
      </c>
      <c r="F88" s="42" cm="1">
        <f t="array" ref="F88:G88">IF(E88,C88:D88, NA())</f>
        <v>59</v>
      </c>
      <c r="G88" s="43">
        <v>60</v>
      </c>
      <c r="H88" s="43" t="e" cm="1">
        <f t="array" ref="H88">IF(E88=0,C88:D88,NA())</f>
        <v>#N/A</v>
      </c>
      <c r="I88" s="43"/>
      <c r="J88" s="43">
        <v>59</v>
      </c>
      <c r="K88" s="43">
        <f t="shared" si="1"/>
        <v>44.236351249332515</v>
      </c>
    </row>
    <row r="89" spans="2:11" x14ac:dyDescent="0.3">
      <c r="B89" s="43">
        <v>1</v>
      </c>
      <c r="C89" s="43">
        <v>35</v>
      </c>
      <c r="D89" s="43">
        <v>72</v>
      </c>
      <c r="E89" s="41">
        <v>0</v>
      </c>
      <c r="F89" s="42" t="e" cm="1">
        <f t="array" ref="F89">IF(E89,C89:D89, NA())</f>
        <v>#N/A</v>
      </c>
      <c r="G89" s="43"/>
      <c r="H89" s="43" cm="1">
        <f t="array" ref="H89:I89">IF(E89=0,C89:D89,NA())</f>
        <v>35</v>
      </c>
      <c r="I89" s="43">
        <v>72</v>
      </c>
      <c r="J89" s="43">
        <v>35</v>
      </c>
      <c r="K89" s="43">
        <f t="shared" si="1"/>
        <v>63.591375278498951</v>
      </c>
    </row>
    <row r="90" spans="2:11" x14ac:dyDescent="0.3">
      <c r="B90" s="43">
        <v>1</v>
      </c>
      <c r="C90" s="43">
        <v>81</v>
      </c>
      <c r="D90" s="43">
        <v>42</v>
      </c>
      <c r="E90" s="41">
        <v>1</v>
      </c>
      <c r="F90" s="42" cm="1">
        <f t="array" ref="F90:G90">IF(E90,C90:D90, NA())</f>
        <v>81</v>
      </c>
      <c r="G90" s="43">
        <v>42</v>
      </c>
      <c r="H90" s="43" t="e" cm="1">
        <f t="array" ref="H90">IF(E90=0,C90:D90,NA())</f>
        <v>#N/A</v>
      </c>
      <c r="I90" s="43"/>
      <c r="J90" s="43">
        <v>81</v>
      </c>
      <c r="K90" s="43">
        <f t="shared" si="1"/>
        <v>26.49424588926329</v>
      </c>
    </row>
    <row r="91" spans="2:11" x14ac:dyDescent="0.3">
      <c r="B91" s="43">
        <v>1</v>
      </c>
      <c r="C91" s="43">
        <v>83</v>
      </c>
      <c r="D91" s="43">
        <v>67</v>
      </c>
      <c r="E91" s="41">
        <v>1</v>
      </c>
      <c r="F91" s="42" cm="1">
        <f t="array" ref="F91:G91">IF(E91,C91:D91, NA())</f>
        <v>83</v>
      </c>
      <c r="G91" s="43">
        <v>67</v>
      </c>
      <c r="H91" s="43" t="e" cm="1">
        <f t="array" ref="H91">IF(E91=0,C91:D91,NA())</f>
        <v>#N/A</v>
      </c>
      <c r="I91" s="43"/>
      <c r="J91" s="43">
        <v>83</v>
      </c>
      <c r="K91" s="43">
        <f t="shared" si="1"/>
        <v>24.881327220166085</v>
      </c>
    </row>
    <row r="92" spans="2:11" x14ac:dyDescent="0.3">
      <c r="B92" s="43">
        <v>1</v>
      </c>
      <c r="C92" s="43">
        <v>77</v>
      </c>
      <c r="D92" s="43">
        <v>75</v>
      </c>
      <c r="E92" s="41">
        <v>1</v>
      </c>
      <c r="F92" s="42" cm="1">
        <f t="array" ref="F92:G92">IF(E92,C92:D92, NA())</f>
        <v>77</v>
      </c>
      <c r="G92" s="43">
        <v>75</v>
      </c>
      <c r="H92" s="43" t="e" cm="1">
        <f t="array" ref="H92">IF(E92=0,C92:D92,NA())</f>
        <v>#N/A</v>
      </c>
      <c r="I92" s="43"/>
      <c r="J92" s="43">
        <v>77</v>
      </c>
      <c r="K92" s="43">
        <f t="shared" si="1"/>
        <v>29.720083227457696</v>
      </c>
    </row>
    <row r="93" spans="2:11" x14ac:dyDescent="0.3">
      <c r="B93" s="43">
        <v>1</v>
      </c>
      <c r="C93" s="43">
        <v>21</v>
      </c>
      <c r="D93" s="43">
        <v>28</v>
      </c>
      <c r="E93" s="41">
        <v>0</v>
      </c>
      <c r="F93" s="42" t="e" cm="1">
        <f t="array" ref="F93">IF(E93,C93:D93, NA())</f>
        <v>#N/A</v>
      </c>
      <c r="G93" s="43"/>
      <c r="H93" s="43" cm="1">
        <f t="array" ref="H93:I93">IF(E93=0,C93:D93,NA())</f>
        <v>21</v>
      </c>
      <c r="I93" s="43">
        <v>28</v>
      </c>
      <c r="J93" s="43">
        <v>21</v>
      </c>
      <c r="K93" s="43">
        <f t="shared" si="1"/>
        <v>74.881805962179371</v>
      </c>
    </row>
    <row r="94" spans="2:11" x14ac:dyDescent="0.3">
      <c r="B94" s="43">
        <v>1</v>
      </c>
      <c r="C94" s="43">
        <v>59</v>
      </c>
      <c r="D94" s="43">
        <v>82</v>
      </c>
      <c r="E94" s="41">
        <v>1</v>
      </c>
      <c r="F94" s="42" cm="1">
        <f t="array" ref="F94:G94">IF(E94,C94:D94, NA())</f>
        <v>59</v>
      </c>
      <c r="G94" s="43">
        <v>82</v>
      </c>
      <c r="H94" s="43" t="e" cm="1">
        <f t="array" ref="H94">IF(E94=0,C94:D94,NA())</f>
        <v>#N/A</v>
      </c>
      <c r="I94" s="43"/>
      <c r="J94" s="43">
        <v>59</v>
      </c>
      <c r="K94" s="43">
        <f t="shared" si="1"/>
        <v>44.236351249332515</v>
      </c>
    </row>
    <row r="95" spans="2:11" x14ac:dyDescent="0.3">
      <c r="B95" s="43">
        <v>1</v>
      </c>
      <c r="C95" s="43">
        <v>52</v>
      </c>
      <c r="D95" s="43">
        <v>66</v>
      </c>
      <c r="E95" s="41">
        <v>1</v>
      </c>
      <c r="F95" s="42" cm="1">
        <f t="array" ref="F95:G95">IF(E95,C95:D95, NA())</f>
        <v>52</v>
      </c>
      <c r="G95" s="43">
        <v>66</v>
      </c>
      <c r="H95" s="43" t="e" cm="1">
        <f t="array" ref="H95">IF(E95=0,C95:D95,NA())</f>
        <v>#N/A</v>
      </c>
      <c r="I95" s="43"/>
      <c r="J95" s="43">
        <v>52</v>
      </c>
      <c r="K95" s="43">
        <f t="shared" si="1"/>
        <v>49.881566591172728</v>
      </c>
    </row>
    <row r="96" spans="2:11" x14ac:dyDescent="0.3">
      <c r="B96" s="43">
        <v>1</v>
      </c>
      <c r="C96" s="43">
        <v>93</v>
      </c>
      <c r="D96" s="43">
        <v>90</v>
      </c>
      <c r="E96" s="41">
        <v>1</v>
      </c>
      <c r="F96" s="42" cm="1">
        <f t="array" ref="F96:G96">IF(E96,C96:D96, NA())</f>
        <v>93</v>
      </c>
      <c r="G96" s="43">
        <v>90</v>
      </c>
      <c r="H96" s="43" t="e" cm="1">
        <f t="array" ref="H96">IF(E96=0,C96:D96,NA())</f>
        <v>#N/A</v>
      </c>
      <c r="I96" s="43"/>
      <c r="J96" s="43">
        <v>93</v>
      </c>
      <c r="K96" s="43">
        <f t="shared" si="1"/>
        <v>16.816733874680061</v>
      </c>
    </row>
    <row r="97" spans="2:11" x14ac:dyDescent="0.3">
      <c r="B97" s="43">
        <v>1</v>
      </c>
      <c r="C97" s="43">
        <v>65</v>
      </c>
      <c r="D97" s="43">
        <v>28</v>
      </c>
      <c r="E97" s="41">
        <v>0</v>
      </c>
      <c r="F97" s="42" t="e" cm="1">
        <f t="array" ref="F97">IF(E97,C97:D97, NA())</f>
        <v>#N/A</v>
      </c>
      <c r="G97" s="43"/>
      <c r="H97" s="43" cm="1">
        <f t="array" ref="H97:I97">IF(E97=0,C97:D97,NA())</f>
        <v>65</v>
      </c>
      <c r="I97" s="43">
        <v>28</v>
      </c>
      <c r="J97" s="43">
        <v>65</v>
      </c>
      <c r="K97" s="43">
        <f t="shared" si="1"/>
        <v>39.397595242040914</v>
      </c>
    </row>
    <row r="98" spans="2:11" x14ac:dyDescent="0.3">
      <c r="B98" s="43">
        <v>1</v>
      </c>
      <c r="C98" s="43">
        <v>45</v>
      </c>
      <c r="D98" s="43">
        <v>85</v>
      </c>
      <c r="E98" s="41">
        <v>1</v>
      </c>
      <c r="F98" s="42" cm="1">
        <f t="array" ref="F98:G98">IF(E98,C98:D98, NA())</f>
        <v>45</v>
      </c>
      <c r="G98" s="43">
        <v>85</v>
      </c>
      <c r="H98" s="43" t="e" cm="1">
        <f t="array" ref="H98">IF(E98=0,C98:D98,NA())</f>
        <v>#N/A</v>
      </c>
      <c r="I98" s="43"/>
      <c r="J98" s="43">
        <v>45</v>
      </c>
      <c r="K98" s="43">
        <f t="shared" si="1"/>
        <v>55.526781933012934</v>
      </c>
    </row>
    <row r="99" spans="2:11" x14ac:dyDescent="0.3">
      <c r="B99" s="43">
        <v>1</v>
      </c>
      <c r="C99" s="43">
        <v>78</v>
      </c>
      <c r="D99" s="43">
        <v>85</v>
      </c>
      <c r="E99" s="41">
        <v>1</v>
      </c>
      <c r="F99" s="42" cm="1">
        <f t="array" ref="F99:G99">IF(E99,C99:D99, NA())</f>
        <v>78</v>
      </c>
      <c r="G99" s="43">
        <v>85</v>
      </c>
      <c r="H99" s="43" t="e" cm="1">
        <f t="array" ref="H99">IF(E99=0,C99:D99,NA())</f>
        <v>#N/A</v>
      </c>
      <c r="I99" s="43"/>
      <c r="J99" s="43">
        <v>78</v>
      </c>
      <c r="K99" s="43">
        <f t="shared" si="1"/>
        <v>28.91362389290909</v>
      </c>
    </row>
    <row r="100" spans="2:11" x14ac:dyDescent="0.3">
      <c r="B100" s="43">
        <v>1</v>
      </c>
      <c r="C100" s="43">
        <v>50</v>
      </c>
      <c r="D100" s="43">
        <v>62</v>
      </c>
      <c r="E100" s="41">
        <v>1</v>
      </c>
      <c r="F100" s="42" cm="1">
        <f t="array" ref="F100:G100">IF(E100,C100:D100, NA())</f>
        <v>50</v>
      </c>
      <c r="G100" s="43">
        <v>62</v>
      </c>
      <c r="H100" s="43" t="e" cm="1">
        <f t="array" ref="H100">IF(E100=0,C100:D100,NA())</f>
        <v>#N/A</v>
      </c>
      <c r="I100" s="43"/>
      <c r="J100" s="43">
        <v>50</v>
      </c>
      <c r="K100" s="43">
        <f t="shared" si="1"/>
        <v>51.494485260269933</v>
      </c>
    </row>
    <row r="101" spans="2:11" x14ac:dyDescent="0.3">
      <c r="B101" s="43">
        <v>1</v>
      </c>
      <c r="C101" s="43">
        <v>91</v>
      </c>
      <c r="D101" s="43">
        <v>71</v>
      </c>
      <c r="E101" s="41">
        <v>1</v>
      </c>
      <c r="F101" s="42" cm="1">
        <f t="array" ref="F101:G101">IF(E101,C101:D101, NA())</f>
        <v>91</v>
      </c>
      <c r="G101" s="43">
        <v>71</v>
      </c>
      <c r="H101" s="43" t="e" cm="1">
        <f t="array" ref="H101">IF(E101=0,C101:D101,NA())</f>
        <v>#N/A</v>
      </c>
      <c r="I101" s="43"/>
      <c r="J101" s="43">
        <v>91</v>
      </c>
      <c r="K101" s="43">
        <f t="shared" si="1"/>
        <v>18.429652543777273</v>
      </c>
    </row>
    <row r="102" spans="2:11" x14ac:dyDescent="0.3">
      <c r="B102" s="43">
        <v>1</v>
      </c>
      <c r="C102" s="43">
        <v>80</v>
      </c>
      <c r="D102" s="43">
        <v>36</v>
      </c>
      <c r="E102" s="41">
        <v>1</v>
      </c>
      <c r="F102" s="42" cm="1">
        <f t="array" ref="F102:G102">IF(E102,C102:D102, NA())</f>
        <v>80</v>
      </c>
      <c r="G102" s="43">
        <v>36</v>
      </c>
      <c r="H102" s="43" t="e" cm="1">
        <f t="array" ref="H102">IF(E102=0,C102:D102,NA())</f>
        <v>#N/A</v>
      </c>
      <c r="I102" s="43"/>
      <c r="J102" s="43">
        <v>80</v>
      </c>
      <c r="K102" s="43">
        <f t="shared" si="1"/>
        <v>27.300705223811885</v>
      </c>
    </row>
    <row r="103" spans="2:11" x14ac:dyDescent="0.3">
      <c r="B103" s="43">
        <v>1</v>
      </c>
      <c r="C103" s="43">
        <v>93</v>
      </c>
      <c r="D103" s="43">
        <v>61</v>
      </c>
      <c r="E103" s="41">
        <v>1</v>
      </c>
      <c r="F103" s="42" cm="1">
        <f t="array" ref="F103:G103">IF(E103,C103:D103, NA())</f>
        <v>93</v>
      </c>
      <c r="G103" s="43">
        <v>61</v>
      </c>
      <c r="H103" s="43" t="e" cm="1">
        <f t="array" ref="H103">IF(E103=0,C103:D103,NA())</f>
        <v>#N/A</v>
      </c>
      <c r="I103" s="43"/>
      <c r="J103" s="43">
        <v>93</v>
      </c>
      <c r="K103" s="43">
        <f t="shared" si="1"/>
        <v>16.816733874680061</v>
      </c>
    </row>
    <row r="104" spans="2:11" x14ac:dyDescent="0.3">
      <c r="B104" s="43">
        <v>1</v>
      </c>
      <c r="C104" s="43">
        <v>82</v>
      </c>
      <c r="D104" s="43">
        <v>37</v>
      </c>
      <c r="E104" s="41">
        <v>1</v>
      </c>
      <c r="F104" s="42" cm="1">
        <f t="array" ref="F104:G104">IF(E104,C104:D104, NA())</f>
        <v>82</v>
      </c>
      <c r="G104" s="43">
        <v>37</v>
      </c>
      <c r="H104" s="43" t="e" cm="1">
        <f t="array" ref="H104">IF(E104=0,C104:D104,NA())</f>
        <v>#N/A</v>
      </c>
      <c r="I104" s="43"/>
      <c r="J104" s="43">
        <v>82</v>
      </c>
      <c r="K104" s="43">
        <f t="shared" si="1"/>
        <v>25.687786554714684</v>
      </c>
    </row>
    <row r="105" spans="2:11" x14ac:dyDescent="0.3">
      <c r="B105" s="43">
        <v>1</v>
      </c>
      <c r="C105" s="43">
        <v>98</v>
      </c>
      <c r="D105" s="43">
        <v>33</v>
      </c>
      <c r="E105" s="41">
        <v>1</v>
      </c>
      <c r="F105" s="42" cm="1">
        <f t="array" ref="F105:G105">IF(E105,C105:D105, NA())</f>
        <v>98</v>
      </c>
      <c r="G105" s="43">
        <v>33</v>
      </c>
      <c r="H105" s="43" t="e" cm="1">
        <f t="array" ref="H105">IF(E105=0,C105:D105,NA())</f>
        <v>#N/A</v>
      </c>
      <c r="I105" s="43"/>
      <c r="J105" s="43">
        <v>98</v>
      </c>
      <c r="K105" s="43">
        <f t="shared" si="1"/>
        <v>12.78443720193706</v>
      </c>
    </row>
    <row r="106" spans="2:11" x14ac:dyDescent="0.3">
      <c r="B106" s="43">
        <v>1</v>
      </c>
      <c r="C106" s="43">
        <v>43</v>
      </c>
      <c r="D106" s="43">
        <v>57</v>
      </c>
      <c r="E106" s="41">
        <v>1</v>
      </c>
      <c r="F106" s="42" cm="1">
        <f t="array" ref="F106:G106">IF(E106,C106:D106, NA())</f>
        <v>43</v>
      </c>
      <c r="G106" s="43">
        <v>57</v>
      </c>
      <c r="H106" s="43" t="e" cm="1">
        <f t="array" ref="H106">IF(E106=0,C106:D106,NA())</f>
        <v>#N/A</v>
      </c>
      <c r="I106" s="43"/>
      <c r="J106" s="43">
        <v>43</v>
      </c>
      <c r="K106" s="43">
        <f t="shared" si="1"/>
        <v>57.139700602110139</v>
      </c>
    </row>
    <row r="107" spans="2:11" x14ac:dyDescent="0.3">
      <c r="B107" s="43">
        <v>1</v>
      </c>
      <c r="C107" s="43">
        <v>38</v>
      </c>
      <c r="D107" s="43">
        <v>67</v>
      </c>
      <c r="E107" s="41">
        <v>1</v>
      </c>
      <c r="F107" s="42" cm="1">
        <f t="array" ref="F107:G107">IF(E107,C107:D107, NA())</f>
        <v>38</v>
      </c>
      <c r="G107" s="43">
        <v>67</v>
      </c>
      <c r="H107" s="43" t="e" cm="1">
        <f t="array" ref="H107">IF(E107=0,C107:D107,NA())</f>
        <v>#N/A</v>
      </c>
      <c r="I107" s="43"/>
      <c r="J107" s="43">
        <v>38</v>
      </c>
      <c r="K107" s="43">
        <f t="shared" si="1"/>
        <v>61.171997274853155</v>
      </c>
    </row>
    <row r="108" spans="2:11" x14ac:dyDescent="0.3">
      <c r="B108" s="43">
        <v>1</v>
      </c>
      <c r="C108" s="43">
        <v>56</v>
      </c>
      <c r="D108" s="43">
        <v>26</v>
      </c>
      <c r="E108" s="41">
        <v>0</v>
      </c>
      <c r="F108" s="42" t="e" cm="1">
        <f t="array" ref="F108">IF(E108,C108:D108, NA())</f>
        <v>#N/A</v>
      </c>
      <c r="G108" s="43"/>
      <c r="H108" s="43" cm="1">
        <f t="array" ref="H108:I108">IF(E108=0,C108:D108,NA())</f>
        <v>56</v>
      </c>
      <c r="I108" s="43">
        <v>26</v>
      </c>
      <c r="J108" s="43">
        <v>56</v>
      </c>
      <c r="K108" s="43">
        <f t="shared" si="1"/>
        <v>46.655729252978325</v>
      </c>
    </row>
    <row r="109" spans="2:11" x14ac:dyDescent="0.3">
      <c r="B109" s="43">
        <v>1</v>
      </c>
      <c r="C109" s="43">
        <v>46</v>
      </c>
      <c r="D109" s="43">
        <v>98</v>
      </c>
      <c r="E109" s="41">
        <v>1</v>
      </c>
      <c r="F109" s="42" cm="1">
        <f t="array" ref="F109:G109">IF(E109,C109:D109, NA())</f>
        <v>46</v>
      </c>
      <c r="G109" s="43">
        <v>98</v>
      </c>
      <c r="H109" s="43" t="e" cm="1">
        <f t="array" ref="H109">IF(E109=0,C109:D109,NA())</f>
        <v>#N/A</v>
      </c>
      <c r="I109" s="43"/>
      <c r="J109" s="43">
        <v>46</v>
      </c>
      <c r="K109" s="43">
        <f t="shared" si="1"/>
        <v>54.720322598464335</v>
      </c>
    </row>
    <row r="110" spans="2:11" x14ac:dyDescent="0.3">
      <c r="B110" s="43">
        <v>1</v>
      </c>
      <c r="C110" s="43">
        <v>34</v>
      </c>
      <c r="D110" s="43">
        <v>86</v>
      </c>
      <c r="E110" s="41">
        <v>1</v>
      </c>
      <c r="F110" s="42" cm="1">
        <f t="array" ref="F110:G110">IF(E110,C110:D110, NA())</f>
        <v>34</v>
      </c>
      <c r="G110" s="43">
        <v>86</v>
      </c>
      <c r="H110" s="43" t="e" cm="1">
        <f t="array" ref="H110">IF(E110=0,C110:D110,NA())</f>
        <v>#N/A</v>
      </c>
      <c r="I110" s="43"/>
      <c r="J110" s="43">
        <v>34</v>
      </c>
      <c r="K110" s="43">
        <f t="shared" si="1"/>
        <v>64.397834613047564</v>
      </c>
    </row>
    <row r="111" spans="2:11" x14ac:dyDescent="0.3">
      <c r="B111" s="43">
        <v>1</v>
      </c>
      <c r="C111" s="43">
        <v>52</v>
      </c>
      <c r="D111" s="43">
        <v>92</v>
      </c>
      <c r="E111" s="41">
        <v>1</v>
      </c>
      <c r="F111" s="42" cm="1">
        <f t="array" ref="F111:G111">IF(E111,C111:D111, NA())</f>
        <v>52</v>
      </c>
      <c r="G111" s="43">
        <v>92</v>
      </c>
      <c r="H111" s="43" t="e" cm="1">
        <f t="array" ref="H111">IF(E111=0,C111:D111,NA())</f>
        <v>#N/A</v>
      </c>
      <c r="I111" s="43"/>
      <c r="J111" s="43">
        <v>52</v>
      </c>
      <c r="K111" s="43">
        <f t="shared" si="1"/>
        <v>49.881566591172728</v>
      </c>
    </row>
    <row r="112" spans="2:11" x14ac:dyDescent="0.3">
      <c r="B112" s="43">
        <v>1</v>
      </c>
      <c r="C112" s="43">
        <v>82</v>
      </c>
      <c r="D112" s="43">
        <v>100</v>
      </c>
      <c r="E112" s="41">
        <v>1</v>
      </c>
      <c r="F112" s="42" cm="1">
        <f t="array" ref="F112:G112">IF(E112,C112:D112, NA())</f>
        <v>82</v>
      </c>
      <c r="G112" s="43">
        <v>100</v>
      </c>
      <c r="H112" s="43" t="e" cm="1">
        <f t="array" ref="H112">IF(E112=0,C112:D112,NA())</f>
        <v>#N/A</v>
      </c>
      <c r="I112" s="43"/>
      <c r="J112" s="43">
        <v>82</v>
      </c>
      <c r="K112" s="43">
        <f t="shared" si="1"/>
        <v>25.687786554714684</v>
      </c>
    </row>
    <row r="113" spans="2:11" x14ac:dyDescent="0.3">
      <c r="B113" s="43">
        <v>1</v>
      </c>
      <c r="C113" s="43">
        <v>74</v>
      </c>
      <c r="D113" s="43">
        <v>87</v>
      </c>
      <c r="E113" s="41">
        <v>1</v>
      </c>
      <c r="F113" s="42" cm="1">
        <f t="array" ref="F113:G113">IF(E113,C113:D113, NA())</f>
        <v>74</v>
      </c>
      <c r="G113" s="43">
        <v>87</v>
      </c>
      <c r="H113" s="43" t="e" cm="1">
        <f t="array" ref="H113">IF(E113=0,C113:D113,NA())</f>
        <v>#N/A</v>
      </c>
      <c r="I113" s="43"/>
      <c r="J113" s="43">
        <v>74</v>
      </c>
      <c r="K113" s="43">
        <f t="shared" si="1"/>
        <v>32.139461231103496</v>
      </c>
    </row>
  </sheetData>
  <mergeCells count="2">
    <mergeCell ref="F13:G13"/>
    <mergeCell ref="H13:I1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Tabela 1</vt:lpstr>
      <vt:lpstr>Tabela 2</vt:lpstr>
      <vt:lpstr>Wykresy</vt:lpstr>
      <vt:lpstr>Klasyfikator</vt:lpstr>
      <vt:lpstr>Wykres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2006-09-22T13:37:51Z</dcterms:created>
  <dcterms:modified xsi:type="dcterms:W3CDTF">2025-12-19T15:42:07Z</dcterms:modified>
</cp:coreProperties>
</file>