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19865F7-FE23-4C19-9E04-DE98E2CC4843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Tabela 1" sheetId="1" r:id="rId1"/>
    <sheet name="Tabela 2" sheetId="8" r:id="rId2"/>
    <sheet name="Wykresy" sheetId="9" r:id="rId3"/>
    <sheet name="Klasyfikator" sheetId="13" r:id="rId4"/>
    <sheet name="Wykres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4" l="1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4" i="14"/>
  <c r="H18" i="14" a="1"/>
  <c r="H18" i="14" s="1"/>
  <c r="H19" i="14" a="1"/>
  <c r="H19" i="14" s="1"/>
  <c r="H20" i="14" a="1"/>
  <c r="H20" i="14" s="1"/>
  <c r="H21" i="14" a="1"/>
  <c r="H21" i="14" s="1"/>
  <c r="H22" i="14" a="1"/>
  <c r="H22" i="14" s="1"/>
  <c r="H23" i="14" a="1"/>
  <c r="H23" i="14" s="1"/>
  <c r="H24" i="14" a="1"/>
  <c r="H24" i="14" s="1"/>
  <c r="H25" i="14" a="1"/>
  <c r="H25" i="14" s="1"/>
  <c r="H26" i="14" a="1"/>
  <c r="H26" i="14" s="1"/>
  <c r="H27" i="14" a="1"/>
  <c r="H27" i="14" s="1"/>
  <c r="H28" i="14" a="1"/>
  <c r="H28" i="14" s="1"/>
  <c r="H29" i="14" a="1"/>
  <c r="H29" i="14" s="1"/>
  <c r="H30" i="14" a="1"/>
  <c r="H30" i="14" s="1"/>
  <c r="H31" i="14" a="1"/>
  <c r="H31" i="14" s="1"/>
  <c r="H32" i="14" a="1"/>
  <c r="H32" i="14" s="1"/>
  <c r="H33" i="14" a="1"/>
  <c r="H33" i="14" s="1"/>
  <c r="H34" i="14" a="1"/>
  <c r="H34" i="14" s="1"/>
  <c r="H35" i="14" a="1"/>
  <c r="H35" i="14" s="1"/>
  <c r="H36" i="14" a="1"/>
  <c r="H36" i="14" s="1"/>
  <c r="H37" i="14" a="1"/>
  <c r="H37" i="14" s="1"/>
  <c r="H38" i="14" a="1"/>
  <c r="H38" i="14" s="1"/>
  <c r="H39" i="14" a="1"/>
  <c r="H39" i="14" s="1"/>
  <c r="H40" i="14" a="1"/>
  <c r="H40" i="14" s="1"/>
  <c r="H41" i="14" a="1"/>
  <c r="H41" i="14" s="1"/>
  <c r="H42" i="14" a="1"/>
  <c r="H42" i="14" s="1"/>
  <c r="H43" i="14" a="1"/>
  <c r="H43" i="14" s="1"/>
  <c r="H44" i="14" a="1"/>
  <c r="H44" i="14" s="1"/>
  <c r="H45" i="14" a="1"/>
  <c r="H45" i="14" s="1"/>
  <c r="H46" i="14" a="1"/>
  <c r="H46" i="14" s="1"/>
  <c r="H47" i="14" a="1"/>
  <c r="H47" i="14" s="1"/>
  <c r="H48" i="14" a="1"/>
  <c r="H48" i="14" s="1"/>
  <c r="H49" i="14" a="1"/>
  <c r="H49" i="14" s="1"/>
  <c r="H50" i="14" a="1"/>
  <c r="H50" i="14" s="1"/>
  <c r="H51" i="14" a="1"/>
  <c r="H51" i="14" s="1"/>
  <c r="H52" i="14" a="1"/>
  <c r="H52" i="14" s="1"/>
  <c r="H53" i="14" a="1"/>
  <c r="H53" i="14" s="1"/>
  <c r="H54" i="14" a="1"/>
  <c r="H54" i="14" s="1"/>
  <c r="H55" i="14" a="1"/>
  <c r="H55" i="14" s="1"/>
  <c r="H56" i="14" a="1"/>
  <c r="H56" i="14" s="1"/>
  <c r="H57" i="14" a="1"/>
  <c r="H57" i="14" s="1"/>
  <c r="H58" i="14" a="1"/>
  <c r="H58" i="14" s="1"/>
  <c r="H59" i="14" a="1"/>
  <c r="H59" i="14" s="1"/>
  <c r="H60" i="14" a="1"/>
  <c r="H60" i="14" s="1"/>
  <c r="H61" i="14" a="1"/>
  <c r="H61" i="14" s="1"/>
  <c r="H62" i="14" a="1"/>
  <c r="H62" i="14" s="1"/>
  <c r="H63" i="14" a="1"/>
  <c r="H63" i="14" s="1"/>
  <c r="H64" i="14" a="1"/>
  <c r="H64" i="14" s="1"/>
  <c r="H65" i="14" a="1"/>
  <c r="H65" i="14" s="1"/>
  <c r="H66" i="14" a="1"/>
  <c r="H66" i="14" s="1"/>
  <c r="H67" i="14" a="1"/>
  <c r="H67" i="14" s="1"/>
  <c r="H68" i="14" a="1"/>
  <c r="H68" i="14" s="1"/>
  <c r="H69" i="14" a="1"/>
  <c r="H69" i="14" s="1"/>
  <c r="H70" i="14" a="1"/>
  <c r="H70" i="14" s="1"/>
  <c r="H71" i="14" a="1"/>
  <c r="H71" i="14" s="1"/>
  <c r="H72" i="14" a="1"/>
  <c r="H72" i="14" s="1"/>
  <c r="H73" i="14" a="1"/>
  <c r="H73" i="14" s="1"/>
  <c r="H74" i="14" a="1"/>
  <c r="H74" i="14" s="1"/>
  <c r="H75" i="14" a="1"/>
  <c r="H75" i="14" s="1"/>
  <c r="H76" i="14" a="1"/>
  <c r="H76" i="14" s="1"/>
  <c r="H77" i="14" a="1"/>
  <c r="H77" i="14" s="1"/>
  <c r="H78" i="14" a="1"/>
  <c r="H78" i="14" s="1"/>
  <c r="H79" i="14" a="1"/>
  <c r="H79" i="14" s="1"/>
  <c r="H80" i="14" a="1"/>
  <c r="H80" i="14" s="1"/>
  <c r="H81" i="14" a="1"/>
  <c r="H81" i="14" s="1"/>
  <c r="H82" i="14" a="1"/>
  <c r="H82" i="14" s="1"/>
  <c r="H83" i="14" a="1"/>
  <c r="H83" i="14" s="1"/>
  <c r="H84" i="14" a="1"/>
  <c r="H84" i="14" s="1"/>
  <c r="H85" i="14" a="1"/>
  <c r="H85" i="14" s="1"/>
  <c r="H86" i="14" a="1"/>
  <c r="H86" i="14" s="1"/>
  <c r="H87" i="14" a="1"/>
  <c r="H87" i="14" s="1"/>
  <c r="H88" i="14" a="1"/>
  <c r="H88" i="14" s="1"/>
  <c r="H89" i="14" a="1"/>
  <c r="H89" i="14" s="1"/>
  <c r="H90" i="14" a="1"/>
  <c r="H90" i="14" s="1"/>
  <c r="H91" i="14" a="1"/>
  <c r="H91" i="14" s="1"/>
  <c r="H92" i="14" a="1"/>
  <c r="H92" i="14" s="1"/>
  <c r="H93" i="14" a="1"/>
  <c r="H93" i="14" s="1"/>
  <c r="H94" i="14" a="1"/>
  <c r="H94" i="14" s="1"/>
  <c r="H95" i="14" a="1"/>
  <c r="H95" i="14" s="1"/>
  <c r="H96" i="14" a="1"/>
  <c r="H96" i="14" s="1"/>
  <c r="H97" i="14" a="1"/>
  <c r="H97" i="14" s="1"/>
  <c r="H98" i="14" a="1"/>
  <c r="H98" i="14" s="1"/>
  <c r="H99" i="14" a="1"/>
  <c r="H99" i="14" s="1"/>
  <c r="H100" i="14" a="1"/>
  <c r="H100" i="14" s="1"/>
  <c r="H101" i="14" a="1"/>
  <c r="H101" i="14" s="1"/>
  <c r="H102" i="14" a="1"/>
  <c r="H102" i="14" s="1"/>
  <c r="H103" i="14" a="1"/>
  <c r="H103" i="14" s="1"/>
  <c r="H104" i="14" a="1"/>
  <c r="H104" i="14" s="1"/>
  <c r="H105" i="14" a="1"/>
  <c r="H105" i="14" s="1"/>
  <c r="H106" i="14" a="1"/>
  <c r="H106" i="14" s="1"/>
  <c r="H107" i="14" a="1"/>
  <c r="H107" i="14" s="1"/>
  <c r="H108" i="14" a="1"/>
  <c r="H108" i="14" s="1"/>
  <c r="H109" i="14" a="1"/>
  <c r="H109" i="14" s="1"/>
  <c r="H110" i="14" a="1"/>
  <c r="H110" i="14" s="1"/>
  <c r="H111" i="14" a="1"/>
  <c r="H111" i="14" s="1"/>
  <c r="H112" i="14" a="1"/>
  <c r="H112" i="14" s="1"/>
  <c r="H113" i="14" a="1"/>
  <c r="H113" i="14" s="1"/>
  <c r="H15" i="14" a="1"/>
  <c r="H15" i="14" s="1"/>
  <c r="H16" i="14" a="1"/>
  <c r="H16" i="14" s="1"/>
  <c r="H17" i="14" a="1"/>
  <c r="H17" i="14" s="1"/>
  <c r="H14" i="14" a="1"/>
  <c r="H14" i="14" s="1"/>
  <c r="F14" i="14" a="1"/>
  <c r="F14" i="14" s="1"/>
  <c r="F15" i="14" a="1"/>
  <c r="F15" i="14" s="1"/>
  <c r="F16" i="14" a="1"/>
  <c r="F16" i="14"/>
  <c r="F17" i="14" a="1"/>
  <c r="F17" i="14" s="1"/>
  <c r="F18" i="14" a="1"/>
  <c r="F18" i="14" s="1"/>
  <c r="F19" i="14" a="1"/>
  <c r="F19" i="14" s="1"/>
  <c r="F20" i="14" a="1"/>
  <c r="F20" i="14"/>
  <c r="F21" i="14" a="1"/>
  <c r="F21" i="14" s="1"/>
  <c r="F22" i="14" a="1"/>
  <c r="F22" i="14" s="1"/>
  <c r="F23" i="14" a="1"/>
  <c r="F23" i="14"/>
  <c r="F24" i="14" a="1"/>
  <c r="F24" i="14" s="1"/>
  <c r="F25" i="14" a="1"/>
  <c r="F25" i="14" s="1"/>
  <c r="F26" i="14" a="1"/>
  <c r="F26" i="14"/>
  <c r="F27" i="14" a="1"/>
  <c r="F27" i="14" s="1"/>
  <c r="F28" i="14" a="1"/>
  <c r="F28" i="14"/>
  <c r="F29" i="14" a="1"/>
  <c r="F29" i="14" s="1"/>
  <c r="F30" i="14" a="1"/>
  <c r="F30" i="14" s="1"/>
  <c r="F31" i="14" a="1"/>
  <c r="F31" i="14" s="1"/>
  <c r="F32" i="14" a="1"/>
  <c r="F32" i="14" s="1"/>
  <c r="F33" i="14" a="1"/>
  <c r="F33" i="14" s="1"/>
  <c r="F34" i="14" a="1"/>
  <c r="F34" i="14" s="1"/>
  <c r="F35" i="14" a="1"/>
  <c r="F35" i="14"/>
  <c r="F36" i="14" a="1"/>
  <c r="F36" i="14" s="1"/>
  <c r="F37" i="14" a="1"/>
  <c r="F37" i="14" s="1"/>
  <c r="F38" i="14" a="1"/>
  <c r="F38" i="14"/>
  <c r="F39" i="14" a="1"/>
  <c r="F39" i="14" s="1"/>
  <c r="F40" i="14" a="1"/>
  <c r="F40" i="14"/>
  <c r="F41" i="14" a="1"/>
  <c r="F41" i="14"/>
  <c r="F42" i="14" a="1"/>
  <c r="F42" i="14" s="1"/>
  <c r="F43" i="14" a="1"/>
  <c r="F43" i="14" s="1"/>
  <c r="F44" i="14" a="1"/>
  <c r="F44" i="14"/>
  <c r="F45" i="14" a="1"/>
  <c r="F45" i="14" s="1"/>
  <c r="F46" i="14" a="1"/>
  <c r="F46" i="14"/>
  <c r="F47" i="14" a="1"/>
  <c r="F47" i="14"/>
  <c r="F48" i="14" a="1"/>
  <c r="F48" i="14" s="1"/>
  <c r="F49" i="14" a="1"/>
  <c r="F49" i="14" s="1"/>
  <c r="F50" i="14" a="1"/>
  <c r="F50" i="14"/>
  <c r="F51" i="14" a="1"/>
  <c r="F51" i="14" s="1"/>
  <c r="F52" i="14" a="1"/>
  <c r="F52" i="14" s="1"/>
  <c r="F53" i="14" a="1"/>
  <c r="F53" i="14"/>
  <c r="F54" i="14" a="1"/>
  <c r="F54" i="14" s="1"/>
  <c r="F55" i="14" a="1"/>
  <c r="F55" i="14" s="1"/>
  <c r="F56" i="14" a="1"/>
  <c r="F56" i="14"/>
  <c r="F57" i="14" a="1"/>
  <c r="F57" i="14" s="1"/>
  <c r="F58" i="14" a="1"/>
  <c r="F58" i="14" s="1"/>
  <c r="F59" i="14" a="1"/>
  <c r="F59" i="14"/>
  <c r="F60" i="14" a="1"/>
  <c r="F60" i="14" s="1"/>
  <c r="F61" i="14" a="1"/>
  <c r="F61" i="14" s="1"/>
  <c r="F62" i="14" a="1"/>
  <c r="F62" i="14"/>
  <c r="F63" i="14" a="1"/>
  <c r="F63" i="14" s="1"/>
  <c r="F64" i="14" a="1"/>
  <c r="F64" i="14" s="1"/>
  <c r="F65" i="14" a="1"/>
  <c r="F65" i="14"/>
  <c r="F66" i="14" a="1"/>
  <c r="F66" i="14" s="1"/>
  <c r="F67" i="14" a="1"/>
  <c r="F67" i="14" s="1"/>
  <c r="F68" i="14" a="1"/>
  <c r="F68" i="14" s="1"/>
  <c r="F69" i="14" a="1"/>
  <c r="F69" i="14" s="1"/>
  <c r="F70" i="14" a="1"/>
  <c r="F70" i="14" s="1"/>
  <c r="F71" i="14" a="1"/>
  <c r="F71" i="14" s="1"/>
  <c r="F72" i="14" a="1"/>
  <c r="F72" i="14" s="1"/>
  <c r="F73" i="14" a="1"/>
  <c r="F73" i="14" s="1"/>
  <c r="F74" i="14" a="1"/>
  <c r="F74" i="14" s="1"/>
  <c r="F75" i="14" a="1"/>
  <c r="F75" i="14" s="1"/>
  <c r="F76" i="14" a="1"/>
  <c r="F76" i="14" s="1"/>
  <c r="F77" i="14" a="1"/>
  <c r="F77" i="14" s="1"/>
  <c r="F78" i="14" a="1"/>
  <c r="F78" i="14" s="1"/>
  <c r="F79" i="14" a="1"/>
  <c r="F79" i="14" s="1"/>
  <c r="F80" i="14" a="1"/>
  <c r="F80" i="14"/>
  <c r="F81" i="14" a="1"/>
  <c r="F81" i="14" s="1"/>
  <c r="F82" i="14" a="1"/>
  <c r="F82" i="14" s="1"/>
  <c r="F83" i="14" a="1"/>
  <c r="F83" i="14"/>
  <c r="F84" i="14" a="1"/>
  <c r="F84" i="14" s="1"/>
  <c r="F85" i="14" a="1"/>
  <c r="F85" i="14" s="1"/>
  <c r="F86" i="14" a="1"/>
  <c r="F86" i="14"/>
  <c r="F87" i="14" a="1"/>
  <c r="F87" i="14" s="1"/>
  <c r="F88" i="14" a="1"/>
  <c r="F88" i="14" s="1"/>
  <c r="F89" i="14" a="1"/>
  <c r="F89" i="14" s="1"/>
  <c r="F90" i="14" a="1"/>
  <c r="F90" i="14" s="1"/>
  <c r="F91" i="14" a="1"/>
  <c r="F91" i="14" s="1"/>
  <c r="F92" i="14" a="1"/>
  <c r="F92" i="14"/>
  <c r="F93" i="14" a="1"/>
  <c r="F93" i="14" s="1"/>
  <c r="F94" i="14" a="1"/>
  <c r="F94" i="14" s="1"/>
  <c r="F95" i="14" a="1"/>
  <c r="F95" i="14"/>
  <c r="F96" i="14" a="1"/>
  <c r="F96" i="14" s="1"/>
  <c r="F97" i="14" a="1"/>
  <c r="F97" i="14" s="1"/>
  <c r="F98" i="14" a="1"/>
  <c r="F98" i="14"/>
  <c r="F99" i="14" a="1"/>
  <c r="F99" i="14" s="1"/>
  <c r="F100" i="14" a="1"/>
  <c r="F100" i="14" s="1"/>
  <c r="F101" i="14" a="1"/>
  <c r="F101" i="14"/>
  <c r="F102" i="14" a="1"/>
  <c r="F102" i="14" s="1"/>
  <c r="F103" i="14" a="1"/>
  <c r="F103" i="14" s="1"/>
  <c r="F104" i="14" a="1"/>
  <c r="F104" i="14"/>
  <c r="F105" i="14" a="1"/>
  <c r="F105" i="14" s="1"/>
  <c r="F106" i="14" a="1"/>
  <c r="F106" i="14" s="1"/>
  <c r="F107" i="14" a="1"/>
  <c r="F107" i="14"/>
  <c r="F108" i="14" a="1"/>
  <c r="F108" i="14" s="1"/>
  <c r="F109" i="14" a="1"/>
  <c r="F109" i="14" s="1"/>
  <c r="F110" i="14" a="1"/>
  <c r="F110" i="14"/>
  <c r="F111" i="14" a="1"/>
  <c r="F111" i="14" s="1"/>
  <c r="F112" i="14" a="1"/>
  <c r="F112" i="14" s="1"/>
  <c r="F113" i="14" a="1"/>
  <c r="F113" i="1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K305" i="1"/>
  <c r="H5" i="8" s="1"/>
  <c r="G305" i="1"/>
  <c r="D5" i="8" s="1"/>
  <c r="D305" i="1"/>
  <c r="W205" i="1"/>
  <c r="W206" i="1"/>
  <c r="W207" i="1"/>
  <c r="W208" i="1"/>
  <c r="W209" i="1"/>
  <c r="W305" i="1" s="1"/>
  <c r="T5" i="8" s="1"/>
  <c r="W210" i="1"/>
  <c r="R305" i="1" s="1"/>
  <c r="O5" i="8" s="1"/>
  <c r="W211" i="1"/>
  <c r="W212" i="1"/>
  <c r="W213" i="1"/>
  <c r="W214" i="1"/>
  <c r="Q305" i="1" s="1"/>
  <c r="N5" i="8" s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P205" i="1"/>
  <c r="P305" i="1" s="1"/>
  <c r="M5" i="8" s="1"/>
  <c r="P206" i="1"/>
  <c r="P207" i="1"/>
  <c r="N305" i="1" s="1"/>
  <c r="K5" i="8" s="1"/>
  <c r="P208" i="1"/>
  <c r="M305" i="1" s="1"/>
  <c r="J5" i="8" s="1"/>
  <c r="P209" i="1"/>
  <c r="P210" i="1"/>
  <c r="L305" i="1" s="1"/>
  <c r="I5" i="8" s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J205" i="1"/>
  <c r="C305" i="1" s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W104" i="1"/>
  <c r="W204" i="1" s="1"/>
  <c r="T4" i="8" s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P104" i="1"/>
  <c r="P204" i="1" s="1"/>
  <c r="M4" i="8" s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J104" i="1"/>
  <c r="J204" i="1" s="1"/>
  <c r="G4" i="8" s="1"/>
  <c r="J105" i="1"/>
  <c r="J106" i="1"/>
  <c r="J107" i="1"/>
  <c r="C204" i="1" s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W4" i="1"/>
  <c r="R103" i="1" s="1"/>
  <c r="O3" i="8" s="1"/>
  <c r="W5" i="1"/>
  <c r="W103" i="1" s="1"/>
  <c r="T3" i="8" s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3" i="1"/>
  <c r="L103" i="1" s="1"/>
  <c r="I3" i="8" s="1"/>
  <c r="S305" i="1" l="1"/>
  <c r="P5" i="8" s="1"/>
  <c r="T305" i="1"/>
  <c r="Q5" i="8" s="1"/>
  <c r="U305" i="1"/>
  <c r="R5" i="8" s="1"/>
  <c r="V305" i="1"/>
  <c r="S5" i="8" s="1"/>
  <c r="O305" i="1"/>
  <c r="L5" i="8" s="1"/>
  <c r="E305" i="1"/>
  <c r="B5" i="8" s="1"/>
  <c r="F305" i="1"/>
  <c r="C5" i="8" s="1"/>
  <c r="H305" i="1"/>
  <c r="E5" i="8" s="1"/>
  <c r="J305" i="1"/>
  <c r="G5" i="8" s="1"/>
  <c r="I305" i="1"/>
  <c r="F5" i="8" s="1"/>
  <c r="Q204" i="1"/>
  <c r="N4" i="8" s="1"/>
  <c r="R204" i="1"/>
  <c r="O4" i="8" s="1"/>
  <c r="S204" i="1"/>
  <c r="P4" i="8" s="1"/>
  <c r="T204" i="1"/>
  <c r="Q4" i="8" s="1"/>
  <c r="U204" i="1"/>
  <c r="R4" i="8" s="1"/>
  <c r="V204" i="1"/>
  <c r="S4" i="8" s="1"/>
  <c r="K204" i="1"/>
  <c r="H4" i="8" s="1"/>
  <c r="L204" i="1"/>
  <c r="I4" i="8" s="1"/>
  <c r="M204" i="1"/>
  <c r="J4" i="8" s="1"/>
  <c r="N204" i="1"/>
  <c r="K4" i="8" s="1"/>
  <c r="O204" i="1"/>
  <c r="L4" i="8" s="1"/>
  <c r="D204" i="1"/>
  <c r="E204" i="1"/>
  <c r="B4" i="8" s="1"/>
  <c r="F204" i="1"/>
  <c r="C4" i="8" s="1"/>
  <c r="G204" i="1"/>
  <c r="D4" i="8" s="1"/>
  <c r="H204" i="1"/>
  <c r="E4" i="8" s="1"/>
  <c r="I204" i="1"/>
  <c r="F4" i="8" s="1"/>
  <c r="Q103" i="1"/>
  <c r="N3" i="8" s="1"/>
  <c r="V103" i="1"/>
  <c r="S3" i="8" s="1"/>
  <c r="U103" i="1"/>
  <c r="R3" i="8" s="1"/>
  <c r="T103" i="1"/>
  <c r="Q3" i="8" s="1"/>
  <c r="S103" i="1"/>
  <c r="P3" i="8" s="1"/>
  <c r="P103" i="1"/>
  <c r="M3" i="8" s="1"/>
  <c r="K103" i="1"/>
  <c r="H3" i="8" s="1"/>
  <c r="O103" i="1"/>
  <c r="L3" i="8" s="1"/>
  <c r="N103" i="1"/>
  <c r="K3" i="8" s="1"/>
  <c r="M103" i="1"/>
  <c r="J3" i="8" s="1"/>
  <c r="I103" i="1"/>
  <c r="F3" i="8" s="1"/>
  <c r="E103" i="1"/>
  <c r="B3" i="8" s="1"/>
  <c r="F103" i="1"/>
  <c r="C3" i="8" s="1"/>
  <c r="D103" i="1"/>
  <c r="J103" i="1"/>
  <c r="G3" i="8" s="1"/>
  <c r="C103" i="1"/>
  <c r="H103" i="1"/>
  <c r="E3" i="8" s="1"/>
  <c r="G103" i="1"/>
  <c r="D3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<sst xmlns="http://schemas.openxmlformats.org/spreadsheetml/2006/main" count="262" uniqueCount="27">
  <si>
    <t>Lp.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</si>
  <si>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</si>
  <si>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</si>
  <si>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</si>
  <si>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</si>
  <si>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</si>
  <si>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Metoda najszybszego spadku</t>
  </si>
  <si>
    <t>Metoda gradientów sprzężonych</t>
  </si>
  <si>
    <t>Długość kroku</t>
  </si>
  <si>
    <t>f_calls</t>
  </si>
  <si>
    <t>g_calls</t>
  </si>
  <si>
    <t>Metoda Newtona</t>
  </si>
  <si>
    <t>H_calls</t>
  </si>
  <si>
    <t>M. zk.</t>
  </si>
  <si>
    <t>…</t>
  </si>
  <si>
    <t>Nr iteracji</t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</si>
  <si>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</si>
  <si>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</si>
  <si>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</si>
  <si>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J(θ*)</t>
  </si>
  <si>
    <t>P(θ*)</t>
  </si>
  <si>
    <t>Minimum globalne [TAK/NIE]</t>
  </si>
  <si>
    <t>Liczba minimów globalnych</t>
  </si>
  <si>
    <t>nan</t>
  </si>
  <si>
    <t>inf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</si>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</sst>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/>
    <xf numFmtId="0" fontId="0" fillId="0" borderId="30" xfId="0" applyBorder="1"/>
    <xf numFmtId="0" fontId="0" fillId="0" borderId="26" xfId="0" applyBorder="1" applyAlignment="1">
      <alignment horizontal="right"/>
    </xf>
    <xf numFmtId="0" fontId="0" fillId="0" borderId="1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/>
    <xf numFmtId="0" fontId="0" fillId="0" borderId="21" xfId="0" applyBorder="1"/>
    <xf numFmtId="0" fontId="0" fillId="0" borderId="38" xfId="0" applyBorder="1"/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0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= 0.05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Wykresy!$B$4:$B$63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1.5149760000000001</c:v>
                </c:pt>
                <c:pt idx="3">
                  <c:v>1.470599</c:v>
                </c:pt>
                <c:pt idx="4">
                  <c:v>1.43895</c:v>
                </c:pt>
                <c:pt idx="5">
                  <c:v>1.416706</c:v>
                </c:pt>
                <c:pt idx="6">
                  <c:v>1.4022209999999999</c:v>
                </c:pt>
                <c:pt idx="7">
                  <c:v>1.39463</c:v>
                </c:pt>
                <c:pt idx="8">
                  <c:v>1.3934770000000001</c:v>
                </c:pt>
                <c:pt idx="9">
                  <c:v>1.3985240000000001</c:v>
                </c:pt>
                <c:pt idx="10">
                  <c:v>1.4096280000000001</c:v>
                </c:pt>
                <c:pt idx="11">
                  <c:v>1.4266209999999999</c:v>
                </c:pt>
                <c:pt idx="12">
                  <c:v>1.4491860000000001</c:v>
                </c:pt>
                <c:pt idx="13">
                  <c:v>1.476718</c:v>
                </c:pt>
                <c:pt idx="14">
                  <c:v>1.5081739999999999</c:v>
                </c:pt>
                <c:pt idx="15">
                  <c:v>1.5419830000000001</c:v>
                </c:pt>
                <c:pt idx="16">
                  <c:v>1.5760879999999999</c:v>
                </c:pt>
                <c:pt idx="17">
                  <c:v>1.6082259999999999</c:v>
                </c:pt>
                <c:pt idx="18">
                  <c:v>1.6364179999999999</c:v>
                </c:pt>
                <c:pt idx="19">
                  <c:v>1.6594850000000001</c:v>
                </c:pt>
                <c:pt idx="20">
                  <c:v>1.6772769999999999</c:v>
                </c:pt>
                <c:pt idx="21">
                  <c:v>1.6904699999999999</c:v>
                </c:pt>
                <c:pt idx="22">
                  <c:v>1.7001189999999999</c:v>
                </c:pt>
                <c:pt idx="23">
                  <c:v>1.7072579999999999</c:v>
                </c:pt>
                <c:pt idx="24">
                  <c:v>1.712699</c:v>
                </c:pt>
                <c:pt idx="25">
                  <c:v>1.7170019999999999</c:v>
                </c:pt>
                <c:pt idx="26">
                  <c:v>1.720529</c:v>
                </c:pt>
                <c:pt idx="27">
                  <c:v>1.7235050000000001</c:v>
                </c:pt>
                <c:pt idx="28">
                  <c:v>1.7260679999999999</c:v>
                </c:pt>
                <c:pt idx="29">
                  <c:v>1.728307</c:v>
                </c:pt>
                <c:pt idx="30">
                  <c:v>1.7302820000000001</c:v>
                </c:pt>
                <c:pt idx="31">
                  <c:v>1.7320340000000001</c:v>
                </c:pt>
                <c:pt idx="32">
                  <c:v>1.7335940000000001</c:v>
                </c:pt>
                <c:pt idx="33">
                  <c:v>1.734988</c:v>
                </c:pt>
                <c:pt idx="34">
                  <c:v>1.7362359999999999</c:v>
                </c:pt>
                <c:pt idx="35">
                  <c:v>1.7373540000000001</c:v>
                </c:pt>
                <c:pt idx="36">
                  <c:v>1.7383580000000001</c:v>
                </c:pt>
                <c:pt idx="37">
                  <c:v>1.7392590000000001</c:v>
                </c:pt>
                <c:pt idx="38">
                  <c:v>1.74007</c:v>
                </c:pt>
                <c:pt idx="39">
                  <c:v>1.740799</c:v>
                </c:pt>
                <c:pt idx="40">
                  <c:v>1.7414559999999999</c:v>
                </c:pt>
                <c:pt idx="41">
                  <c:v>1.7420469999999999</c:v>
                </c:pt>
                <c:pt idx="42">
                  <c:v>1.74258</c:v>
                </c:pt>
                <c:pt idx="43">
                  <c:v>1.743061</c:v>
                </c:pt>
                <c:pt idx="44">
                  <c:v>1.7434940000000001</c:v>
                </c:pt>
                <c:pt idx="45">
                  <c:v>1.7438849999999999</c:v>
                </c:pt>
                <c:pt idx="46">
                  <c:v>1.744238</c:v>
                </c:pt>
                <c:pt idx="47">
                  <c:v>1.7445569999999999</c:v>
                </c:pt>
                <c:pt idx="48">
                  <c:v>1.7448440000000001</c:v>
                </c:pt>
                <c:pt idx="49">
                  <c:v>1.745104</c:v>
                </c:pt>
                <c:pt idx="50">
                  <c:v>1.745339</c:v>
                </c:pt>
                <c:pt idx="51">
                  <c:v>1.7455510000000001</c:v>
                </c:pt>
                <c:pt idx="52">
                  <c:v>1.7457419999999999</c:v>
                </c:pt>
                <c:pt idx="53">
                  <c:v>1.745916</c:v>
                </c:pt>
                <c:pt idx="54">
                  <c:v>1.7460720000000001</c:v>
                </c:pt>
                <c:pt idx="55">
                  <c:v>1.7462139999999999</c:v>
                </c:pt>
                <c:pt idx="56">
                  <c:v>1.7463409999999999</c:v>
                </c:pt>
                <c:pt idx="57">
                  <c:v>1.7464569999999999</c:v>
                </c:pt>
                <c:pt idx="58">
                  <c:v>1.7465619999999999</c:v>
                </c:pt>
                <c:pt idx="59">
                  <c:v>1.746656</c:v>
                </c:pt>
              </c:numCache>
            </c:numRef>
          </c:xVal>
          <c:yVal>
            <c:numRef>
              <c:f>Wykresy!$C$4:$C$63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1.4510000000000001</c:v>
                </c:pt>
                <c:pt idx="3">
                  <c:v>1.230151</c:v>
                </c:pt>
                <c:pt idx="4">
                  <c:v>1.033606</c:v>
                </c:pt>
                <c:pt idx="5">
                  <c:v>0.85829800000000001</c:v>
                </c:pt>
                <c:pt idx="6">
                  <c:v>0.70163299999999995</c:v>
                </c:pt>
                <c:pt idx="7">
                  <c:v>0.56135900000000005</c:v>
                </c:pt>
                <c:pt idx="8">
                  <c:v>0.43549100000000002</c:v>
                </c:pt>
                <c:pt idx="9">
                  <c:v>0.322268</c:v>
                </c:pt>
                <c:pt idx="10">
                  <c:v>0.22011500000000001</c:v>
                </c:pt>
                <c:pt idx="11">
                  <c:v>0.12762200000000001</c:v>
                </c:pt>
                <c:pt idx="12">
                  <c:v>4.3528999999999998E-2</c:v>
                </c:pt>
                <c:pt idx="13">
                  <c:v>-3.3283E-2</c:v>
                </c:pt>
                <c:pt idx="14">
                  <c:v>-0.10379099999999999</c:v>
                </c:pt>
                <c:pt idx="15">
                  <c:v>-0.16882</c:v>
                </c:pt>
                <c:pt idx="16">
                  <c:v>-0.22903699999999999</c:v>
                </c:pt>
                <c:pt idx="17">
                  <c:v>-0.28493800000000002</c:v>
                </c:pt>
                <c:pt idx="18">
                  <c:v>-0.33685599999999999</c:v>
                </c:pt>
                <c:pt idx="19">
                  <c:v>-0.38499100000000003</c:v>
                </c:pt>
                <c:pt idx="20">
                  <c:v>-0.42946600000000001</c:v>
                </c:pt>
                <c:pt idx="21">
                  <c:v>-0.470383</c:v>
                </c:pt>
                <c:pt idx="22">
                  <c:v>-0.50786900000000001</c:v>
                </c:pt>
                <c:pt idx="23">
                  <c:v>-0.54208800000000001</c:v>
                </c:pt>
                <c:pt idx="24">
                  <c:v>-0.57324200000000003</c:v>
                </c:pt>
                <c:pt idx="25">
                  <c:v>-0.601553</c:v>
                </c:pt>
                <c:pt idx="26">
                  <c:v>-0.627247</c:v>
                </c:pt>
                <c:pt idx="27">
                  <c:v>-0.65054900000000004</c:v>
                </c:pt>
                <c:pt idx="28">
                  <c:v>-0.67166899999999996</c:v>
                </c:pt>
                <c:pt idx="29">
                  <c:v>-0.69080600000000003</c:v>
                </c:pt>
                <c:pt idx="30">
                  <c:v>-0.70814100000000002</c:v>
                </c:pt>
                <c:pt idx="31">
                  <c:v>-0.72384099999999996</c:v>
                </c:pt>
                <c:pt idx="32">
                  <c:v>-0.73805799999999999</c:v>
                </c:pt>
                <c:pt idx="33">
                  <c:v>-0.75093200000000004</c:v>
                </c:pt>
                <c:pt idx="34">
                  <c:v>-0.76258800000000004</c:v>
                </c:pt>
                <c:pt idx="35">
                  <c:v>-0.77314099999999997</c:v>
                </c:pt>
                <c:pt idx="36">
                  <c:v>-0.78269500000000003</c:v>
                </c:pt>
                <c:pt idx="37">
                  <c:v>-0.79134300000000002</c:v>
                </c:pt>
                <c:pt idx="38">
                  <c:v>-0.79917199999999999</c:v>
                </c:pt>
                <c:pt idx="39">
                  <c:v>-0.80625800000000003</c:v>
                </c:pt>
                <c:pt idx="40">
                  <c:v>-0.81267199999999995</c:v>
                </c:pt>
                <c:pt idx="41">
                  <c:v>-0.81847800000000004</c:v>
                </c:pt>
                <c:pt idx="42">
                  <c:v>-0.82373200000000002</c:v>
                </c:pt>
                <c:pt idx="43">
                  <c:v>-0.828488</c:v>
                </c:pt>
                <c:pt idx="44">
                  <c:v>-0.83279199999999998</c:v>
                </c:pt>
                <c:pt idx="45">
                  <c:v>-0.83668799999999999</c:v>
                </c:pt>
                <c:pt idx="46">
                  <c:v>-0.84021299999999999</c:v>
                </c:pt>
                <c:pt idx="47">
                  <c:v>-0.84340400000000004</c:v>
                </c:pt>
                <c:pt idx="48">
                  <c:v>-0.84629100000000002</c:v>
                </c:pt>
                <c:pt idx="49">
                  <c:v>-0.84890399999999999</c:v>
                </c:pt>
                <c:pt idx="50">
                  <c:v>-0.85126900000000005</c:v>
                </c:pt>
                <c:pt idx="51">
                  <c:v>-0.85340899999999997</c:v>
                </c:pt>
                <c:pt idx="52">
                  <c:v>-0.85534600000000005</c:v>
                </c:pt>
                <c:pt idx="53">
                  <c:v>-0.85709800000000003</c:v>
                </c:pt>
                <c:pt idx="54">
                  <c:v>-0.858684</c:v>
                </c:pt>
                <c:pt idx="55">
                  <c:v>-0.86012</c:v>
                </c:pt>
                <c:pt idx="56">
                  <c:v>-0.86141800000000002</c:v>
                </c:pt>
                <c:pt idx="57">
                  <c:v>-0.86259300000000005</c:v>
                </c:pt>
                <c:pt idx="58">
                  <c:v>-0.86365700000000001</c:v>
                </c:pt>
                <c:pt idx="59">
                  <c:v>-0.86461900000000003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6B-4E9F-829A-BD220D83924F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Wykresy!$H$4:$H$63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1.410561</c:v>
                </c:pt>
                <c:pt idx="3">
                  <c:v>1.2546809999999999</c:v>
                </c:pt>
                <c:pt idx="4">
                  <c:v>1.124342</c:v>
                </c:pt>
                <c:pt idx="5">
                  <c:v>1.0117670000000001</c:v>
                </c:pt>
                <c:pt idx="6">
                  <c:v>0.90291600000000005</c:v>
                </c:pt>
                <c:pt idx="7">
                  <c:v>0.78082799999999997</c:v>
                </c:pt>
                <c:pt idx="8">
                  <c:v>0.62366299999999997</c:v>
                </c:pt>
                <c:pt idx="9">
                  <c:v>0.41953400000000002</c:v>
                </c:pt>
                <c:pt idx="10">
                  <c:v>0.20857700000000001</c:v>
                </c:pt>
                <c:pt idx="11">
                  <c:v>-1.6990999999999999E-2</c:v>
                </c:pt>
                <c:pt idx="12">
                  <c:v>-0.45032299999999997</c:v>
                </c:pt>
                <c:pt idx="13">
                  <c:v>-1.728939</c:v>
                </c:pt>
                <c:pt idx="14">
                  <c:v>-3.414193</c:v>
                </c:pt>
              </c:numCache>
            </c:numRef>
          </c:xVal>
          <c:yVal>
            <c:numRef>
              <c:f>Wykresy!$I$4:$I$63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1.3764179999999999</c:v>
                </c:pt>
                <c:pt idx="3">
                  <c:v>0.94840500000000005</c:v>
                </c:pt>
                <c:pt idx="4">
                  <c:v>0.54014600000000002</c:v>
                </c:pt>
                <c:pt idx="5">
                  <c:v>0.21272199999999999</c:v>
                </c:pt>
                <c:pt idx="6">
                  <c:v>-3.4669999999999999E-2</c:v>
                </c:pt>
                <c:pt idx="7">
                  <c:v>-0.23047500000000001</c:v>
                </c:pt>
                <c:pt idx="8">
                  <c:v>-0.40361799999999998</c:v>
                </c:pt>
                <c:pt idx="9">
                  <c:v>-0.55506100000000003</c:v>
                </c:pt>
                <c:pt idx="10">
                  <c:v>-0.64640299999999995</c:v>
                </c:pt>
                <c:pt idx="11">
                  <c:v>-0.686608</c:v>
                </c:pt>
                <c:pt idx="12">
                  <c:v>-0.70106000000000002</c:v>
                </c:pt>
                <c:pt idx="13">
                  <c:v>-0.65464299999999997</c:v>
                </c:pt>
                <c:pt idx="14">
                  <c:v>-0.43917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6B-4E9F-829A-BD220D83924F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Wykresy!$N$4:$N$102</c:f>
              <c:numCache>
                <c:formatCode>General</c:formatCode>
                <c:ptCount val="99"/>
                <c:pt idx="0">
                  <c:v>2</c:v>
                </c:pt>
                <c:pt idx="1">
                  <c:v>1.991843</c:v>
                </c:pt>
                <c:pt idx="2">
                  <c:v>1.9838750000000001</c:v>
                </c:pt>
                <c:pt idx="3">
                  <c:v>1.976094</c:v>
                </c:pt>
                <c:pt idx="4">
                  <c:v>1.9684980000000001</c:v>
                </c:pt>
                <c:pt idx="5">
                  <c:v>1.9610860000000001</c:v>
                </c:pt>
                <c:pt idx="6">
                  <c:v>1.953856</c:v>
                </c:pt>
                <c:pt idx="7">
                  <c:v>1.9468049999999999</c:v>
                </c:pt>
                <c:pt idx="8">
                  <c:v>1.9399329999999999</c:v>
                </c:pt>
                <c:pt idx="9">
                  <c:v>1.9332370000000001</c:v>
                </c:pt>
                <c:pt idx="10">
                  <c:v>1.926715</c:v>
                </c:pt>
                <c:pt idx="11">
                  <c:v>1.920366</c:v>
                </c:pt>
                <c:pt idx="12">
                  <c:v>1.9141859999999999</c:v>
                </c:pt>
                <c:pt idx="13">
                  <c:v>1.908174</c:v>
                </c:pt>
                <c:pt idx="14">
                  <c:v>1.902328</c:v>
                </c:pt>
                <c:pt idx="15">
                  <c:v>1.8966460000000001</c:v>
                </c:pt>
                <c:pt idx="16">
                  <c:v>1.8911249999999999</c:v>
                </c:pt>
                <c:pt idx="17">
                  <c:v>1.8857630000000001</c:v>
                </c:pt>
                <c:pt idx="18">
                  <c:v>1.880558</c:v>
                </c:pt>
                <c:pt idx="19">
                  <c:v>1.875507</c:v>
                </c:pt>
                <c:pt idx="20">
                  <c:v>1.870608</c:v>
                </c:pt>
                <c:pt idx="21">
                  <c:v>1.865858</c:v>
                </c:pt>
                <c:pt idx="22">
                  <c:v>1.861256</c:v>
                </c:pt>
                <c:pt idx="23">
                  <c:v>1.856797</c:v>
                </c:pt>
                <c:pt idx="24">
                  <c:v>1.852481</c:v>
                </c:pt>
                <c:pt idx="25">
                  <c:v>1.848303</c:v>
                </c:pt>
                <c:pt idx="26">
                  <c:v>1.8442620000000001</c:v>
                </c:pt>
                <c:pt idx="27">
                  <c:v>1.840355</c:v>
                </c:pt>
                <c:pt idx="28">
                  <c:v>1.836578</c:v>
                </c:pt>
                <c:pt idx="29">
                  <c:v>1.8329299999999999</c:v>
                </c:pt>
                <c:pt idx="30">
                  <c:v>1.8294079999999999</c:v>
                </c:pt>
                <c:pt idx="31">
                  <c:v>1.8260080000000001</c:v>
                </c:pt>
                <c:pt idx="32">
                  <c:v>1.822727</c:v>
                </c:pt>
                <c:pt idx="33">
                  <c:v>1.819564</c:v>
                </c:pt>
                <c:pt idx="34">
                  <c:v>1.8165150000000001</c:v>
                </c:pt>
                <c:pt idx="35">
                  <c:v>1.813577</c:v>
                </c:pt>
                <c:pt idx="36">
                  <c:v>1.8107470000000001</c:v>
                </c:pt>
                <c:pt idx="37">
                  <c:v>1.8080229999999999</c:v>
                </c:pt>
                <c:pt idx="38">
                  <c:v>1.805402</c:v>
                </c:pt>
                <c:pt idx="39">
                  <c:v>1.80288</c:v>
                </c:pt>
                <c:pt idx="40">
                  <c:v>1.8004560000000001</c:v>
                </c:pt>
                <c:pt idx="41">
                  <c:v>1.7981259999999999</c:v>
                </c:pt>
                <c:pt idx="42">
                  <c:v>1.795887</c:v>
                </c:pt>
                <c:pt idx="43">
                  <c:v>1.7937369999999999</c:v>
                </c:pt>
                <c:pt idx="44">
                  <c:v>1.7916730000000001</c:v>
                </c:pt>
                <c:pt idx="45">
                  <c:v>1.7896920000000001</c:v>
                </c:pt>
                <c:pt idx="46">
                  <c:v>1.787792</c:v>
                </c:pt>
                <c:pt idx="47">
                  <c:v>1.7859700000000001</c:v>
                </c:pt>
                <c:pt idx="48">
                  <c:v>1.7842229999999999</c:v>
                </c:pt>
                <c:pt idx="49">
                  <c:v>1.7825489999999999</c:v>
                </c:pt>
                <c:pt idx="50">
                  <c:v>1.780945</c:v>
                </c:pt>
                <c:pt idx="51">
                  <c:v>1.779409</c:v>
                </c:pt>
                <c:pt idx="52">
                  <c:v>1.777938</c:v>
                </c:pt>
                <c:pt idx="53">
                  <c:v>1.7765299999999999</c:v>
                </c:pt>
                <c:pt idx="54">
                  <c:v>1.775183</c:v>
                </c:pt>
                <c:pt idx="55">
                  <c:v>1.773895</c:v>
                </c:pt>
                <c:pt idx="56">
                  <c:v>1.7726630000000001</c:v>
                </c:pt>
                <c:pt idx="57">
                  <c:v>1.771485</c:v>
                </c:pt>
                <c:pt idx="58">
                  <c:v>1.770359</c:v>
                </c:pt>
                <c:pt idx="59">
                  <c:v>1.7692829999999999</c:v>
                </c:pt>
                <c:pt idx="60">
                  <c:v>1.768256</c:v>
                </c:pt>
                <c:pt idx="61">
                  <c:v>1.767274</c:v>
                </c:pt>
                <c:pt idx="62">
                  <c:v>1.766337</c:v>
                </c:pt>
                <c:pt idx="63">
                  <c:v>1.765442</c:v>
                </c:pt>
                <c:pt idx="64">
                  <c:v>1.764588</c:v>
                </c:pt>
                <c:pt idx="65">
                  <c:v>1.763773</c:v>
                </c:pt>
                <c:pt idx="66">
                  <c:v>1.7629950000000001</c:v>
                </c:pt>
                <c:pt idx="67">
                  <c:v>1.7622530000000001</c:v>
                </c:pt>
                <c:pt idx="68">
                  <c:v>1.7615460000000001</c:v>
                </c:pt>
                <c:pt idx="69">
                  <c:v>1.7608710000000001</c:v>
                </c:pt>
                <c:pt idx="70">
                  <c:v>1.7602279999999999</c:v>
                </c:pt>
                <c:pt idx="71">
                  <c:v>1.7596149999999999</c:v>
                </c:pt>
                <c:pt idx="72">
                  <c:v>1.7590300000000001</c:v>
                </c:pt>
                <c:pt idx="73">
                  <c:v>1.7584740000000001</c:v>
                </c:pt>
                <c:pt idx="74">
                  <c:v>1.757943</c:v>
                </c:pt>
                <c:pt idx="75">
                  <c:v>1.7574369999999999</c:v>
                </c:pt>
                <c:pt idx="76">
                  <c:v>1.756956</c:v>
                </c:pt>
                <c:pt idx="77">
                  <c:v>1.756497</c:v>
                </c:pt>
                <c:pt idx="78">
                  <c:v>1.75606</c:v>
                </c:pt>
                <c:pt idx="79">
                  <c:v>1.755644</c:v>
                </c:pt>
                <c:pt idx="80">
                  <c:v>1.7552479999999999</c:v>
                </c:pt>
                <c:pt idx="81">
                  <c:v>1.7548710000000001</c:v>
                </c:pt>
                <c:pt idx="82">
                  <c:v>1.7545120000000001</c:v>
                </c:pt>
                <c:pt idx="83">
                  <c:v>1.7541709999999999</c:v>
                </c:pt>
                <c:pt idx="84">
                  <c:v>1.753846</c:v>
                </c:pt>
                <c:pt idx="85">
                  <c:v>1.753536</c:v>
                </c:pt>
                <c:pt idx="86">
                  <c:v>1.753242</c:v>
                </c:pt>
                <c:pt idx="87">
                  <c:v>1.752961</c:v>
                </c:pt>
                <c:pt idx="88">
                  <c:v>1.7526949999999999</c:v>
                </c:pt>
                <c:pt idx="89">
                  <c:v>1.7524409999999999</c:v>
                </c:pt>
                <c:pt idx="90">
                  <c:v>1.7522</c:v>
                </c:pt>
                <c:pt idx="91">
                  <c:v>1.75197</c:v>
                </c:pt>
                <c:pt idx="92">
                  <c:v>1.751752</c:v>
                </c:pt>
                <c:pt idx="93">
                  <c:v>1.751544</c:v>
                </c:pt>
                <c:pt idx="94">
                  <c:v>1.751347</c:v>
                </c:pt>
                <c:pt idx="95">
                  <c:v>1.7511589999999999</c:v>
                </c:pt>
                <c:pt idx="96">
                  <c:v>1.75098</c:v>
                </c:pt>
                <c:pt idx="97">
                  <c:v>1.7508109999999999</c:v>
                </c:pt>
                <c:pt idx="98">
                  <c:v>1.7506489999999999</c:v>
                </c:pt>
              </c:numCache>
            </c:numRef>
          </c:xVal>
          <c:yVal>
            <c:numRef>
              <c:f>Wykresy!$O$4:$O$102</c:f>
              <c:numCache>
                <c:formatCode>General</c:formatCode>
                <c:ptCount val="99"/>
                <c:pt idx="0">
                  <c:v>2</c:v>
                </c:pt>
                <c:pt idx="1">
                  <c:v>1.854079</c:v>
                </c:pt>
                <c:pt idx="2">
                  <c:v>1.7155629999999999</c:v>
                </c:pt>
                <c:pt idx="3">
                  <c:v>1.5840780000000001</c:v>
                </c:pt>
                <c:pt idx="4">
                  <c:v>1.4592700000000001</c:v>
                </c:pt>
                <c:pt idx="5">
                  <c:v>1.3408</c:v>
                </c:pt>
                <c:pt idx="6">
                  <c:v>1.228348</c:v>
                </c:pt>
                <c:pt idx="7">
                  <c:v>1.1216090000000001</c:v>
                </c:pt>
                <c:pt idx="8">
                  <c:v>1.020295</c:v>
                </c:pt>
                <c:pt idx="9">
                  <c:v>0.92413000000000001</c:v>
                </c:pt>
                <c:pt idx="10">
                  <c:v>0.83285299999999995</c:v>
                </c:pt>
                <c:pt idx="11">
                  <c:v>0.74621700000000002</c:v>
                </c:pt>
                <c:pt idx="12">
                  <c:v>0.66398699999999999</c:v>
                </c:pt>
                <c:pt idx="13">
                  <c:v>0.58593899999999999</c:v>
                </c:pt>
                <c:pt idx="14">
                  <c:v>0.51186100000000001</c:v>
                </c:pt>
                <c:pt idx="15">
                  <c:v>0.44155100000000003</c:v>
                </c:pt>
                <c:pt idx="16">
                  <c:v>0.37481799999999998</c:v>
                </c:pt>
                <c:pt idx="17">
                  <c:v>0.31147900000000001</c:v>
                </c:pt>
                <c:pt idx="18">
                  <c:v>0.25136399999999998</c:v>
                </c:pt>
                <c:pt idx="19">
                  <c:v>0.19430700000000001</c:v>
                </c:pt>
                <c:pt idx="20">
                  <c:v>0.140154</c:v>
                </c:pt>
                <c:pt idx="21">
                  <c:v>8.8756000000000002E-2</c:v>
                </c:pt>
                <c:pt idx="22">
                  <c:v>3.9973000000000002E-2</c:v>
                </c:pt>
                <c:pt idx="23">
                  <c:v>-6.3280000000000003E-3</c:v>
                </c:pt>
                <c:pt idx="24">
                  <c:v>-5.0272999999999998E-2</c:v>
                </c:pt>
                <c:pt idx="25">
                  <c:v>-9.1982999999999995E-2</c:v>
                </c:pt>
                <c:pt idx="26">
                  <c:v>-0.13157099999999999</c:v>
                </c:pt>
                <c:pt idx="27">
                  <c:v>-0.16914499999999999</c:v>
                </c:pt>
                <c:pt idx="28">
                  <c:v>-0.20480899999999999</c:v>
                </c:pt>
                <c:pt idx="29">
                  <c:v>-0.23865900000000001</c:v>
                </c:pt>
                <c:pt idx="30">
                  <c:v>-0.27078799999999997</c:v>
                </c:pt>
                <c:pt idx="31">
                  <c:v>-0.30128300000000002</c:v>
                </c:pt>
                <c:pt idx="32">
                  <c:v>-0.33022899999999999</c:v>
                </c:pt>
                <c:pt idx="33">
                  <c:v>-0.35770400000000002</c:v>
                </c:pt>
                <c:pt idx="34">
                  <c:v>-0.38378299999999999</c:v>
                </c:pt>
                <c:pt idx="35">
                  <c:v>-0.40853800000000001</c:v>
                </c:pt>
                <c:pt idx="36">
                  <c:v>-0.43203599999999998</c:v>
                </c:pt>
                <c:pt idx="37">
                  <c:v>-0.45434099999999999</c:v>
                </c:pt>
                <c:pt idx="38">
                  <c:v>-0.47551399999999999</c:v>
                </c:pt>
                <c:pt idx="39">
                  <c:v>-0.495612</c:v>
                </c:pt>
                <c:pt idx="40">
                  <c:v>-0.51469200000000004</c:v>
                </c:pt>
                <c:pt idx="41">
                  <c:v>-0.53280300000000003</c:v>
                </c:pt>
                <c:pt idx="42">
                  <c:v>-0.54999699999999996</c:v>
                </c:pt>
                <c:pt idx="43">
                  <c:v>-0.56631900000000002</c:v>
                </c:pt>
                <c:pt idx="44">
                  <c:v>-0.58181499999999997</c:v>
                </c:pt>
                <c:pt idx="45">
                  <c:v>-0.59652499999999997</c:v>
                </c:pt>
                <c:pt idx="46">
                  <c:v>-0.61049100000000001</c:v>
                </c:pt>
                <c:pt idx="47">
                  <c:v>-0.62375000000000003</c:v>
                </c:pt>
                <c:pt idx="48">
                  <c:v>-0.63633899999999999</c:v>
                </c:pt>
                <c:pt idx="49">
                  <c:v>-0.64829000000000003</c:v>
                </c:pt>
                <c:pt idx="50">
                  <c:v>-0.65963700000000003</c:v>
                </c:pt>
                <c:pt idx="51">
                  <c:v>-0.67041099999999998</c:v>
                </c:pt>
                <c:pt idx="52">
                  <c:v>-0.68064000000000002</c:v>
                </c:pt>
                <c:pt idx="53">
                  <c:v>-0.69035299999999999</c:v>
                </c:pt>
                <c:pt idx="54">
                  <c:v>-0.69957499999999995</c:v>
                </c:pt>
                <c:pt idx="55">
                  <c:v>-0.70833199999999996</c:v>
                </c:pt>
                <c:pt idx="56">
                  <c:v>-0.71664700000000003</c:v>
                </c:pt>
                <c:pt idx="57">
                  <c:v>-0.72454200000000002</c:v>
                </c:pt>
                <c:pt idx="58">
                  <c:v>-0.732039</c:v>
                </c:pt>
                <c:pt idx="59">
                  <c:v>-0.73915799999999998</c:v>
                </c:pt>
                <c:pt idx="60">
                  <c:v>-0.74591799999999997</c:v>
                </c:pt>
                <c:pt idx="61">
                  <c:v>-0.75233799999999995</c:v>
                </c:pt>
                <c:pt idx="62">
                  <c:v>-0.75843400000000005</c:v>
                </c:pt>
                <c:pt idx="63">
                  <c:v>-0.76422400000000001</c:v>
                </c:pt>
                <c:pt idx="64">
                  <c:v>-0.76972099999999999</c:v>
                </c:pt>
                <c:pt idx="65">
                  <c:v>-0.77494300000000005</c:v>
                </c:pt>
                <c:pt idx="66">
                  <c:v>-0.77990099999999996</c:v>
                </c:pt>
                <c:pt idx="67">
                  <c:v>-0.78461000000000003</c:v>
                </c:pt>
                <c:pt idx="68">
                  <c:v>-0.78908199999999995</c:v>
                </c:pt>
                <c:pt idx="69">
                  <c:v>-0.79332899999999995</c:v>
                </c:pt>
                <c:pt idx="70">
                  <c:v>-0.79736300000000004</c:v>
                </c:pt>
                <c:pt idx="71">
                  <c:v>-0.80119399999999996</c:v>
                </c:pt>
                <c:pt idx="72">
                  <c:v>-0.80483199999999999</c:v>
                </c:pt>
                <c:pt idx="73">
                  <c:v>-0.80828800000000001</c:v>
                </c:pt>
                <c:pt idx="74">
                  <c:v>-0.81157000000000001</c:v>
                </c:pt>
                <c:pt idx="75">
                  <c:v>-0.81468700000000005</c:v>
                </c:pt>
                <c:pt idx="76">
                  <c:v>-0.81764800000000004</c:v>
                </c:pt>
                <c:pt idx="77">
                  <c:v>-0.82045999999999997</c:v>
                </c:pt>
                <c:pt idx="78">
                  <c:v>-0.82313099999999995</c:v>
                </c:pt>
                <c:pt idx="79">
                  <c:v>-0.82566799999999996</c:v>
                </c:pt>
                <c:pt idx="80">
                  <c:v>-0.82807799999999998</c:v>
                </c:pt>
                <c:pt idx="81">
                  <c:v>-0.83036699999999997</c:v>
                </c:pt>
                <c:pt idx="82">
                  <c:v>-0.83254099999999998</c:v>
                </c:pt>
                <c:pt idx="83">
                  <c:v>-0.83460599999999996</c:v>
                </c:pt>
                <c:pt idx="84">
                  <c:v>-0.83656699999999995</c:v>
                </c:pt>
                <c:pt idx="85">
                  <c:v>-0.83843000000000001</c:v>
                </c:pt>
                <c:pt idx="86">
                  <c:v>-0.84019999999999995</c:v>
                </c:pt>
                <c:pt idx="87">
                  <c:v>-0.84188099999999999</c:v>
                </c:pt>
                <c:pt idx="88">
                  <c:v>-0.84347700000000003</c:v>
                </c:pt>
                <c:pt idx="89">
                  <c:v>-0.84499400000000002</c:v>
                </c:pt>
                <c:pt idx="90">
                  <c:v>-0.84643500000000005</c:v>
                </c:pt>
                <c:pt idx="91">
                  <c:v>-0.84780299999999997</c:v>
                </c:pt>
                <c:pt idx="92">
                  <c:v>-0.84910300000000005</c:v>
                </c:pt>
                <c:pt idx="93">
                  <c:v>-0.85033800000000004</c:v>
                </c:pt>
                <c:pt idx="94">
                  <c:v>-0.85151100000000002</c:v>
                </c:pt>
                <c:pt idx="95">
                  <c:v>-0.85262499999999997</c:v>
                </c:pt>
                <c:pt idx="96">
                  <c:v>-0.853684</c:v>
                </c:pt>
                <c:pt idx="97">
                  <c:v>-0.85468900000000003</c:v>
                </c:pt>
                <c:pt idx="98">
                  <c:v>-0.85564399999999996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6B-4E9F-829A-BD220D83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= 0.25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Wykresy!$D$4:$D$63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-0.12604699999999999</c:v>
                </c:pt>
                <c:pt idx="3">
                  <c:v>-7.0845000000000005E-2</c:v>
                </c:pt>
                <c:pt idx="4">
                  <c:v>-4.2625999999999997E-2</c:v>
                </c:pt>
                <c:pt idx="5">
                  <c:v>-2.5635999999999999E-2</c:v>
                </c:pt>
                <c:pt idx="6">
                  <c:v>-1.5459000000000001E-2</c:v>
                </c:pt>
                <c:pt idx="7">
                  <c:v>-9.3270000000000002E-3</c:v>
                </c:pt>
                <c:pt idx="8">
                  <c:v>-5.6280000000000002E-3</c:v>
                </c:pt>
                <c:pt idx="9">
                  <c:v>-3.3969999999999998E-3</c:v>
                </c:pt>
                <c:pt idx="10">
                  <c:v>-2.0500000000000002E-3</c:v>
                </c:pt>
                <c:pt idx="11">
                  <c:v>-1.237E-3</c:v>
                </c:pt>
                <c:pt idx="12">
                  <c:v>-7.4700000000000005E-4</c:v>
                </c:pt>
                <c:pt idx="13">
                  <c:v>-4.5100000000000001E-4</c:v>
                </c:pt>
              </c:numCache>
            </c:numRef>
          </c:xVal>
          <c:yVal>
            <c:numRef>
              <c:f>Wykresy!$E$4:$E$63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0.27500000000000002</c:v>
                </c:pt>
                <c:pt idx="3">
                  <c:v>0.169012</c:v>
                </c:pt>
                <c:pt idx="4">
                  <c:v>0.102217</c:v>
                </c:pt>
                <c:pt idx="5">
                  <c:v>6.1765E-2</c:v>
                </c:pt>
                <c:pt idx="6">
                  <c:v>3.7290999999999998E-2</c:v>
                </c:pt>
                <c:pt idx="7">
                  <c:v>2.2509999999999999E-2</c:v>
                </c:pt>
                <c:pt idx="8">
                  <c:v>1.3587E-2</c:v>
                </c:pt>
                <c:pt idx="9">
                  <c:v>8.201E-3</c:v>
                </c:pt>
                <c:pt idx="10">
                  <c:v>4.9500000000000004E-3</c:v>
                </c:pt>
                <c:pt idx="11">
                  <c:v>2.9870000000000001E-3</c:v>
                </c:pt>
                <c:pt idx="12">
                  <c:v>1.8029999999999999E-3</c:v>
                </c:pt>
                <c:pt idx="13">
                  <c:v>1.088E-3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9-4E23-90C7-9716C61A80D6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Wykresy!$J$4:$J$63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-0.14222399999999999</c:v>
                </c:pt>
                <c:pt idx="3">
                  <c:v>-8.0907999999999994E-2</c:v>
                </c:pt>
                <c:pt idx="4">
                  <c:v>-8.9560000000000004E-3</c:v>
                </c:pt>
                <c:pt idx="5">
                  <c:v>-4.2789999999999998E-3</c:v>
                </c:pt>
                <c:pt idx="6">
                  <c:v>-2.0709999999999999E-3</c:v>
                </c:pt>
                <c:pt idx="7">
                  <c:v>-8.0800000000000002E-4</c:v>
                </c:pt>
                <c:pt idx="8">
                  <c:v>-2.22E-4</c:v>
                </c:pt>
              </c:numCache>
            </c:numRef>
          </c:xVal>
          <c:yVal>
            <c:numRef>
              <c:f>Wykresy!$K$4:$K$63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0.26344499999999998</c:v>
                </c:pt>
                <c:pt idx="3">
                  <c:v>9.9824999999999997E-2</c:v>
                </c:pt>
                <c:pt idx="4">
                  <c:v>2.5961000000000001E-2</c:v>
                </c:pt>
                <c:pt idx="5">
                  <c:v>1.2947999999999999E-2</c:v>
                </c:pt>
                <c:pt idx="6">
                  <c:v>4.2979999999999997E-3</c:v>
                </c:pt>
                <c:pt idx="7">
                  <c:v>1.6230000000000001E-3</c:v>
                </c:pt>
                <c:pt idx="8">
                  <c:v>6.2299999999999996E-4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79-4E23-90C7-9716C61A80D6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Wykresy!$P$4:$P$102</c:f>
              <c:numCache>
                <c:formatCode>General</c:formatCode>
                <c:ptCount val="99"/>
                <c:pt idx="0">
                  <c:v>2</c:v>
                </c:pt>
                <c:pt idx="1">
                  <c:v>1.9592149999999999</c:v>
                </c:pt>
                <c:pt idx="2">
                  <c:v>1.923295</c:v>
                </c:pt>
                <c:pt idx="3">
                  <c:v>1.8920030000000001</c:v>
                </c:pt>
                <c:pt idx="4">
                  <c:v>1.8650659999999999</c:v>
                </c:pt>
                <c:pt idx="5">
                  <c:v>1.842176</c:v>
                </c:pt>
                <c:pt idx="6">
                  <c:v>1.8229880000000001</c:v>
                </c:pt>
                <c:pt idx="7">
                  <c:v>1.8071250000000001</c:v>
                </c:pt>
                <c:pt idx="8">
                  <c:v>1.794189</c:v>
                </c:pt>
                <c:pt idx="9">
                  <c:v>1.7837780000000001</c:v>
                </c:pt>
                <c:pt idx="10">
                  <c:v>1.7755000000000001</c:v>
                </c:pt>
                <c:pt idx="11">
                  <c:v>1.7689889999999999</c:v>
                </c:pt>
                <c:pt idx="12">
                  <c:v>1.763916</c:v>
                </c:pt>
                <c:pt idx="13">
                  <c:v>1.759995</c:v>
                </c:pt>
                <c:pt idx="14">
                  <c:v>1.7569840000000001</c:v>
                </c:pt>
                <c:pt idx="15">
                  <c:v>1.7546839999999999</c:v>
                </c:pt>
                <c:pt idx="16">
                  <c:v>1.752934</c:v>
                </c:pt>
                <c:pt idx="17">
                  <c:v>1.7516080000000001</c:v>
                </c:pt>
                <c:pt idx="18">
                  <c:v>1.750605</c:v>
                </c:pt>
                <c:pt idx="19">
                  <c:v>1.7498480000000001</c:v>
                </c:pt>
                <c:pt idx="20">
                  <c:v>1.7492780000000001</c:v>
                </c:pt>
                <c:pt idx="21">
                  <c:v>1.748848</c:v>
                </c:pt>
                <c:pt idx="22">
                  <c:v>1.7485250000000001</c:v>
                </c:pt>
                <c:pt idx="23">
                  <c:v>1.748283</c:v>
                </c:pt>
                <c:pt idx="24">
                  <c:v>1.7481009999999999</c:v>
                </c:pt>
              </c:numCache>
            </c:numRef>
          </c:xVal>
          <c:yVal>
            <c:numRef>
              <c:f>Wykresy!$Q$4:$Q$102</c:f>
              <c:numCache>
                <c:formatCode>General</c:formatCode>
                <c:ptCount val="99"/>
                <c:pt idx="0">
                  <c:v>2</c:v>
                </c:pt>
                <c:pt idx="1">
                  <c:v>1.2703930000000001</c:v>
                </c:pt>
                <c:pt idx="2">
                  <c:v>0.72585200000000005</c:v>
                </c:pt>
                <c:pt idx="3">
                  <c:v>0.31962400000000002</c:v>
                </c:pt>
                <c:pt idx="4">
                  <c:v>1.6685999999999999E-2</c:v>
                </c:pt>
                <c:pt idx="5">
                  <c:v>-0.209174</c:v>
                </c:pt>
                <c:pt idx="6">
                  <c:v>-0.377558</c:v>
                </c:pt>
                <c:pt idx="7">
                  <c:v>-0.50311099999999997</c:v>
                </c:pt>
                <c:pt idx="8">
                  <c:v>-0.59675599999999995</c:v>
                </c:pt>
                <c:pt idx="9">
                  <c:v>-0.66663499999999998</c:v>
                </c:pt>
                <c:pt idx="10">
                  <c:v>-0.71880900000000003</c:v>
                </c:pt>
                <c:pt idx="11">
                  <c:v>-0.75778900000000005</c:v>
                </c:pt>
                <c:pt idx="12">
                  <c:v>-0.78692899999999999</c:v>
                </c:pt>
                <c:pt idx="13">
                  <c:v>-0.80872599999999994</c:v>
                </c:pt>
                <c:pt idx="14">
                  <c:v>-0.82503800000000005</c:v>
                </c:pt>
                <c:pt idx="15">
                  <c:v>-0.837252</c:v>
                </c:pt>
                <c:pt idx="16">
                  <c:v>-0.84639900000000001</c:v>
                </c:pt>
                <c:pt idx="17">
                  <c:v>-0.85325300000000004</c:v>
                </c:pt>
                <c:pt idx="18">
                  <c:v>-0.85838899999999996</c:v>
                </c:pt>
                <c:pt idx="19">
                  <c:v>-0.86223899999999998</c:v>
                </c:pt>
                <c:pt idx="20">
                  <c:v>-0.86512500000000003</c:v>
                </c:pt>
                <c:pt idx="21">
                  <c:v>-0.86728899999999998</c:v>
                </c:pt>
                <c:pt idx="22">
                  <c:v>-0.86891099999999999</c:v>
                </c:pt>
                <c:pt idx="23">
                  <c:v>-0.87012800000000001</c:v>
                </c:pt>
                <c:pt idx="24">
                  <c:v>-0.87104000000000004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79-4E23-90C7-9716C61A8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zmienny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Wykresy!$F$4:$F$63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1.0066839999999999</c:v>
                </c:pt>
                <c:pt idx="3">
                  <c:v>0.82910399999999995</c:v>
                </c:pt>
                <c:pt idx="4">
                  <c:v>0.62784600000000002</c:v>
                </c:pt>
                <c:pt idx="5">
                  <c:v>0.423425</c:v>
                </c:pt>
                <c:pt idx="6">
                  <c:v>0.25284200000000001</c:v>
                </c:pt>
                <c:pt idx="7">
                  <c:v>0.13710800000000001</c:v>
                </c:pt>
                <c:pt idx="8">
                  <c:v>6.8718000000000001E-2</c:v>
                </c:pt>
                <c:pt idx="9">
                  <c:v>3.0952E-2</c:v>
                </c:pt>
                <c:pt idx="10">
                  <c:v>1.0886E-2</c:v>
                </c:pt>
                <c:pt idx="11">
                  <c:v>6.5200000000000002E-4</c:v>
                </c:pt>
                <c:pt idx="12">
                  <c:v>-4.2230000000000002E-3</c:v>
                </c:pt>
                <c:pt idx="13">
                  <c:v>-6.2300000000000003E-3</c:v>
                </c:pt>
                <c:pt idx="14">
                  <c:v>-6.7450000000000001E-3</c:v>
                </c:pt>
                <c:pt idx="15">
                  <c:v>-6.5189999999999996E-3</c:v>
                </c:pt>
                <c:pt idx="16">
                  <c:v>-5.96E-3</c:v>
                </c:pt>
                <c:pt idx="17">
                  <c:v>-5.2830000000000004E-3</c:v>
                </c:pt>
                <c:pt idx="18">
                  <c:v>-4.5960000000000003E-3</c:v>
                </c:pt>
                <c:pt idx="19">
                  <c:v>-3.9529999999999999E-3</c:v>
                </c:pt>
                <c:pt idx="20">
                  <c:v>-3.375E-3</c:v>
                </c:pt>
                <c:pt idx="21">
                  <c:v>-2.8679999999999999E-3</c:v>
                </c:pt>
                <c:pt idx="22">
                  <c:v>-2.4299999999999999E-3</c:v>
                </c:pt>
                <c:pt idx="23">
                  <c:v>-2.0539999999999998E-3</c:v>
                </c:pt>
                <c:pt idx="24">
                  <c:v>-1.7340000000000001E-3</c:v>
                </c:pt>
              </c:numCache>
            </c:numRef>
          </c:xVal>
          <c:yVal>
            <c:numRef>
              <c:f>Wykresy!$G$4:$G$63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1.007223</c:v>
                </c:pt>
                <c:pt idx="3">
                  <c:v>0.70633800000000002</c:v>
                </c:pt>
                <c:pt idx="4">
                  <c:v>0.483072</c:v>
                </c:pt>
                <c:pt idx="5">
                  <c:v>0.32432100000000003</c:v>
                </c:pt>
                <c:pt idx="6">
                  <c:v>0.21754999999999999</c:v>
                </c:pt>
                <c:pt idx="7">
                  <c:v>0.149035</c:v>
                </c:pt>
                <c:pt idx="8">
                  <c:v>0.105694</c:v>
                </c:pt>
                <c:pt idx="9">
                  <c:v>7.7797000000000005E-2</c:v>
                </c:pt>
                <c:pt idx="10">
                  <c:v>5.9219000000000001E-2</c:v>
                </c:pt>
                <c:pt idx="11">
                  <c:v>4.6338999999999998E-2</c:v>
                </c:pt>
                <c:pt idx="12">
                  <c:v>3.7044000000000001E-2</c:v>
                </c:pt>
                <c:pt idx="13">
                  <c:v>3.0086000000000002E-2</c:v>
                </c:pt>
                <c:pt idx="14">
                  <c:v>2.4714E-2</c:v>
                </c:pt>
                <c:pt idx="15">
                  <c:v>2.0462999999999999E-2</c:v>
                </c:pt>
                <c:pt idx="16">
                  <c:v>1.7035999999999999E-2</c:v>
                </c:pt>
                <c:pt idx="17">
                  <c:v>1.4236E-2</c:v>
                </c:pt>
                <c:pt idx="18">
                  <c:v>1.1927E-2</c:v>
                </c:pt>
                <c:pt idx="19">
                  <c:v>1.0009000000000001E-2</c:v>
                </c:pt>
                <c:pt idx="20">
                  <c:v>8.4089999999999998E-3</c:v>
                </c:pt>
                <c:pt idx="21">
                  <c:v>7.0699999999999999E-3</c:v>
                </c:pt>
                <c:pt idx="22">
                  <c:v>5.947E-3</c:v>
                </c:pt>
                <c:pt idx="23">
                  <c:v>5.0049999999999999E-3</c:v>
                </c:pt>
                <c:pt idx="24">
                  <c:v>4.2119999999999996E-3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D0-4898-B8F3-23C1136A5B4D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Wykresy!$L$4:$L$63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0.977321</c:v>
                </c:pt>
                <c:pt idx="3">
                  <c:v>0.52965099999999998</c:v>
                </c:pt>
                <c:pt idx="4">
                  <c:v>1.9008000000000001E-2</c:v>
                </c:pt>
                <c:pt idx="5">
                  <c:v>1.4038999999999999E-2</c:v>
                </c:pt>
                <c:pt idx="6">
                  <c:v>6.4796000000000006E-2</c:v>
                </c:pt>
                <c:pt idx="7">
                  <c:v>9.1360999999999998E-2</c:v>
                </c:pt>
                <c:pt idx="8">
                  <c:v>9.0559000000000001E-2</c:v>
                </c:pt>
              </c:numCache>
            </c:numRef>
          </c:xVal>
          <c:yVal>
            <c:numRef>
              <c:f>Wykresy!$M$4:$M$63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0.98624999999999996</c:v>
                </c:pt>
                <c:pt idx="3">
                  <c:v>0.10700999999999999</c:v>
                </c:pt>
                <c:pt idx="4">
                  <c:v>-0.64854800000000001</c:v>
                </c:pt>
                <c:pt idx="5">
                  <c:v>-0.61298200000000003</c:v>
                </c:pt>
                <c:pt idx="6">
                  <c:v>-0.45864100000000002</c:v>
                </c:pt>
                <c:pt idx="7">
                  <c:v>-0.353709</c:v>
                </c:pt>
                <c:pt idx="8">
                  <c:v>-0.29216300000000001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D0-4898-B8F3-23C1136A5B4D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Wykresy!$R$4:$R$102</c:f>
              <c:numCache>
                <c:formatCode>General</c:formatCode>
                <c:ptCount val="99"/>
                <c:pt idx="0">
                  <c:v>2</c:v>
                </c:pt>
                <c:pt idx="1">
                  <c:v>1.983752</c:v>
                </c:pt>
                <c:pt idx="2">
                  <c:v>1.968259</c:v>
                </c:pt>
                <c:pt idx="3">
                  <c:v>1.9535070000000001</c:v>
                </c:pt>
                <c:pt idx="4">
                  <c:v>1.939481</c:v>
                </c:pt>
                <c:pt idx="5">
                  <c:v>1.926167</c:v>
                </c:pt>
                <c:pt idx="6">
                  <c:v>1.913548</c:v>
                </c:pt>
                <c:pt idx="7">
                  <c:v>1.901608</c:v>
                </c:pt>
                <c:pt idx="8">
                  <c:v>1.8903300000000001</c:v>
                </c:pt>
                <c:pt idx="9">
                  <c:v>1.879696</c:v>
                </c:pt>
                <c:pt idx="10">
                  <c:v>1.8696870000000001</c:v>
                </c:pt>
                <c:pt idx="11">
                  <c:v>1.860282</c:v>
                </c:pt>
                <c:pt idx="12">
                  <c:v>1.8514630000000001</c:v>
                </c:pt>
                <c:pt idx="13">
                  <c:v>1.843208</c:v>
                </c:pt>
                <c:pt idx="14">
                  <c:v>1.8354950000000001</c:v>
                </c:pt>
                <c:pt idx="15">
                  <c:v>1.828303</c:v>
                </c:pt>
                <c:pt idx="16">
                  <c:v>1.821607</c:v>
                </c:pt>
                <c:pt idx="17">
                  <c:v>1.8153859999999999</c:v>
                </c:pt>
                <c:pt idx="18">
                  <c:v>1.809617</c:v>
                </c:pt>
                <c:pt idx="19">
                  <c:v>1.804276</c:v>
                </c:pt>
                <c:pt idx="20">
                  <c:v>1.7993399999999999</c:v>
                </c:pt>
                <c:pt idx="21">
                  <c:v>1.7947850000000001</c:v>
                </c:pt>
                <c:pt idx="22">
                  <c:v>1.7905899999999999</c:v>
                </c:pt>
                <c:pt idx="23">
                  <c:v>1.786732</c:v>
                </c:pt>
                <c:pt idx="24">
                  <c:v>1.7831900000000001</c:v>
                </c:pt>
                <c:pt idx="25">
                  <c:v>1.779941</c:v>
                </c:pt>
                <c:pt idx="26">
                  <c:v>1.776966</c:v>
                </c:pt>
                <c:pt idx="27">
                  <c:v>1.774246</c:v>
                </c:pt>
                <c:pt idx="28">
                  <c:v>1.7717609999999999</c:v>
                </c:pt>
                <c:pt idx="29">
                  <c:v>1.7694939999999999</c:v>
                </c:pt>
                <c:pt idx="30">
                  <c:v>1.767428</c:v>
                </c:pt>
                <c:pt idx="31">
                  <c:v>1.7655479999999999</c:v>
                </c:pt>
                <c:pt idx="32">
                  <c:v>1.7638370000000001</c:v>
                </c:pt>
                <c:pt idx="33">
                  <c:v>1.7622819999999999</c:v>
                </c:pt>
                <c:pt idx="34">
                  <c:v>1.7608699999999999</c:v>
                </c:pt>
                <c:pt idx="35">
                  <c:v>1.7595890000000001</c:v>
                </c:pt>
                <c:pt idx="36">
                  <c:v>1.758427</c:v>
                </c:pt>
                <c:pt idx="37">
                  <c:v>1.7573749999999999</c:v>
                </c:pt>
                <c:pt idx="38">
                  <c:v>1.756421</c:v>
                </c:pt>
                <c:pt idx="39">
                  <c:v>1.7555590000000001</c:v>
                </c:pt>
                <c:pt idx="40">
                  <c:v>1.7547779999999999</c:v>
                </c:pt>
                <c:pt idx="41">
                  <c:v>1.7540720000000001</c:v>
                </c:pt>
                <c:pt idx="42">
                  <c:v>1.7534339999999999</c:v>
                </c:pt>
                <c:pt idx="43">
                  <c:v>1.7528570000000001</c:v>
                </c:pt>
                <c:pt idx="44">
                  <c:v>1.7523359999999999</c:v>
                </c:pt>
                <c:pt idx="45">
                  <c:v>1.7518659999999999</c:v>
                </c:pt>
                <c:pt idx="46">
                  <c:v>1.751441</c:v>
                </c:pt>
                <c:pt idx="47">
                  <c:v>1.751058</c:v>
                </c:pt>
                <c:pt idx="48">
                  <c:v>1.750712</c:v>
                </c:pt>
                <c:pt idx="49">
                  <c:v>1.7504</c:v>
                </c:pt>
                <c:pt idx="50">
                  <c:v>1.7501180000000001</c:v>
                </c:pt>
                <c:pt idx="51">
                  <c:v>1.749865</c:v>
                </c:pt>
                <c:pt idx="52">
                  <c:v>1.749636</c:v>
                </c:pt>
                <c:pt idx="53">
                  <c:v>1.7494289999999999</c:v>
                </c:pt>
                <c:pt idx="54">
                  <c:v>1.7492430000000001</c:v>
                </c:pt>
                <c:pt idx="55">
                  <c:v>1.7490760000000001</c:v>
                </c:pt>
              </c:numCache>
            </c:numRef>
          </c:xVal>
          <c:yVal>
            <c:numRef>
              <c:f>Wykresy!$S$4:$S$102</c:f>
              <c:numCache>
                <c:formatCode>General</c:formatCode>
                <c:ptCount val="99"/>
                <c:pt idx="0">
                  <c:v>2</c:v>
                </c:pt>
                <c:pt idx="1">
                  <c:v>1.709344</c:v>
                </c:pt>
                <c:pt idx="2">
                  <c:v>1.4480660000000001</c:v>
                </c:pt>
                <c:pt idx="3">
                  <c:v>1.213212</c:v>
                </c:pt>
                <c:pt idx="4">
                  <c:v>1.0021180000000001</c:v>
                </c:pt>
                <c:pt idx="5">
                  <c:v>0.81239099999999997</c:v>
                </c:pt>
                <c:pt idx="6">
                  <c:v>0.64187499999999997</c:v>
                </c:pt>
                <c:pt idx="7">
                  <c:v>0.48863000000000001</c:v>
                </c:pt>
                <c:pt idx="8">
                  <c:v>0.35091099999999997</c:v>
                </c:pt>
                <c:pt idx="9">
                  <c:v>0.22714699999999999</c:v>
                </c:pt>
                <c:pt idx="10">
                  <c:v>0.115927</c:v>
                </c:pt>
                <c:pt idx="11">
                  <c:v>1.5979E-2</c:v>
                </c:pt>
                <c:pt idx="12">
                  <c:v>-7.3839000000000002E-2</c:v>
                </c:pt>
                <c:pt idx="13">
                  <c:v>-0.154554</c:v>
                </c:pt>
                <c:pt idx="14">
                  <c:v>-0.22709099999999999</c:v>
                </c:pt>
                <c:pt idx="15">
                  <c:v>-0.29227999999999998</c:v>
                </c:pt>
                <c:pt idx="16">
                  <c:v>-0.35086600000000001</c:v>
                </c:pt>
                <c:pt idx="17">
                  <c:v>-0.40352199999999999</c:v>
                </c:pt>
                <c:pt idx="18">
                  <c:v>-0.450849</c:v>
                </c:pt>
                <c:pt idx="19">
                  <c:v>-0.49339</c:v>
                </c:pt>
                <c:pt idx="20">
                  <c:v>-0.53163099999999996</c:v>
                </c:pt>
                <c:pt idx="21">
                  <c:v>-0.56600799999999996</c:v>
                </c:pt>
                <c:pt idx="22">
                  <c:v>-0.59691399999999994</c:v>
                </c:pt>
                <c:pt idx="23">
                  <c:v>-0.62470199999999998</c:v>
                </c:pt>
                <c:pt idx="24">
                  <c:v>-0.64968800000000004</c:v>
                </c:pt>
                <c:pt idx="25">
                  <c:v>-0.67215599999999998</c:v>
                </c:pt>
                <c:pt idx="26">
                  <c:v>-0.692361</c:v>
                </c:pt>
                <c:pt idx="27">
                  <c:v>-0.710534</c:v>
                </c:pt>
                <c:pt idx="28">
                  <c:v>-0.72687800000000002</c:v>
                </c:pt>
                <c:pt idx="29">
                  <c:v>-0.74158100000000005</c:v>
                </c:pt>
                <c:pt idx="30">
                  <c:v>-0.75480599999999998</c:v>
                </c:pt>
                <c:pt idx="31">
                  <c:v>-0.76670400000000005</c:v>
                </c:pt>
                <c:pt idx="32">
                  <c:v>-0.77740799999999999</c:v>
                </c:pt>
                <c:pt idx="33">
                  <c:v>-0.78703900000000004</c:v>
                </c:pt>
                <c:pt idx="34">
                  <c:v>-0.795705</c:v>
                </c:pt>
                <c:pt idx="35">
                  <c:v>-0.80350299999999997</c:v>
                </c:pt>
                <c:pt idx="36">
                  <c:v>-0.81052100000000005</c:v>
                </c:pt>
                <c:pt idx="37">
                  <c:v>-0.81683600000000001</c:v>
                </c:pt>
                <c:pt idx="38">
                  <c:v>-0.822519</c:v>
                </c:pt>
                <c:pt idx="39">
                  <c:v>-0.82763399999999998</c:v>
                </c:pt>
                <c:pt idx="40">
                  <c:v>-0.83223800000000003</c:v>
                </c:pt>
                <c:pt idx="41">
                  <c:v>-0.83638199999999996</c:v>
                </c:pt>
                <c:pt idx="42">
                  <c:v>-0.84011199999999997</c:v>
                </c:pt>
                <c:pt idx="43">
                  <c:v>-0.84346900000000002</c:v>
                </c:pt>
                <c:pt idx="44">
                  <c:v>-0.84649099999999999</c:v>
                </c:pt>
                <c:pt idx="45">
                  <c:v>-0.84921100000000005</c:v>
                </c:pt>
                <c:pt idx="46">
                  <c:v>-0.85165999999999997</c:v>
                </c:pt>
                <c:pt idx="47">
                  <c:v>-0.85386499999999999</c:v>
                </c:pt>
                <c:pt idx="48">
                  <c:v>-0.85585</c:v>
                </c:pt>
                <c:pt idx="49">
                  <c:v>-0.85763599999999995</c:v>
                </c:pt>
                <c:pt idx="50">
                  <c:v>-0.85924500000000004</c:v>
                </c:pt>
                <c:pt idx="51">
                  <c:v>-0.86069300000000004</c:v>
                </c:pt>
                <c:pt idx="52">
                  <c:v>-0.86199700000000001</c:v>
                </c:pt>
                <c:pt idx="53">
                  <c:v>-0.86316999999999999</c:v>
                </c:pt>
                <c:pt idx="54">
                  <c:v>-0.86422699999999997</c:v>
                </c:pt>
                <c:pt idx="55">
                  <c:v>-0.86517900000000003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0-4898-B8F3-23C1136A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SD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SD 0.05</c:v>
          </c:tx>
          <c:xVal>
            <c:numRef>
              <c:f>Wykresy!$B$4:$B$63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1.5149760000000001</c:v>
                </c:pt>
                <c:pt idx="3">
                  <c:v>1.470599</c:v>
                </c:pt>
                <c:pt idx="4">
                  <c:v>1.43895</c:v>
                </c:pt>
                <c:pt idx="5">
                  <c:v>1.416706</c:v>
                </c:pt>
                <c:pt idx="6">
                  <c:v>1.4022209999999999</c:v>
                </c:pt>
                <c:pt idx="7">
                  <c:v>1.39463</c:v>
                </c:pt>
                <c:pt idx="8">
                  <c:v>1.3934770000000001</c:v>
                </c:pt>
                <c:pt idx="9">
                  <c:v>1.3985240000000001</c:v>
                </c:pt>
                <c:pt idx="10">
                  <c:v>1.4096280000000001</c:v>
                </c:pt>
                <c:pt idx="11">
                  <c:v>1.4266209999999999</c:v>
                </c:pt>
                <c:pt idx="12">
                  <c:v>1.4491860000000001</c:v>
                </c:pt>
                <c:pt idx="13">
                  <c:v>1.476718</c:v>
                </c:pt>
                <c:pt idx="14">
                  <c:v>1.5081739999999999</c:v>
                </c:pt>
                <c:pt idx="15">
                  <c:v>1.5419830000000001</c:v>
                </c:pt>
                <c:pt idx="16">
                  <c:v>1.5760879999999999</c:v>
                </c:pt>
                <c:pt idx="17">
                  <c:v>1.6082259999999999</c:v>
                </c:pt>
                <c:pt idx="18">
                  <c:v>1.6364179999999999</c:v>
                </c:pt>
                <c:pt idx="19">
                  <c:v>1.6594850000000001</c:v>
                </c:pt>
                <c:pt idx="20">
                  <c:v>1.6772769999999999</c:v>
                </c:pt>
                <c:pt idx="21">
                  <c:v>1.6904699999999999</c:v>
                </c:pt>
                <c:pt idx="22">
                  <c:v>1.7001189999999999</c:v>
                </c:pt>
                <c:pt idx="23">
                  <c:v>1.7072579999999999</c:v>
                </c:pt>
                <c:pt idx="24">
                  <c:v>1.712699</c:v>
                </c:pt>
                <c:pt idx="25">
                  <c:v>1.7170019999999999</c:v>
                </c:pt>
                <c:pt idx="26">
                  <c:v>1.720529</c:v>
                </c:pt>
                <c:pt idx="27">
                  <c:v>1.7235050000000001</c:v>
                </c:pt>
                <c:pt idx="28">
                  <c:v>1.7260679999999999</c:v>
                </c:pt>
                <c:pt idx="29">
                  <c:v>1.728307</c:v>
                </c:pt>
                <c:pt idx="30">
                  <c:v>1.7302820000000001</c:v>
                </c:pt>
                <c:pt idx="31">
                  <c:v>1.7320340000000001</c:v>
                </c:pt>
                <c:pt idx="32">
                  <c:v>1.7335940000000001</c:v>
                </c:pt>
                <c:pt idx="33">
                  <c:v>1.734988</c:v>
                </c:pt>
                <c:pt idx="34">
                  <c:v>1.7362359999999999</c:v>
                </c:pt>
                <c:pt idx="35">
                  <c:v>1.7373540000000001</c:v>
                </c:pt>
                <c:pt idx="36">
                  <c:v>1.7383580000000001</c:v>
                </c:pt>
                <c:pt idx="37">
                  <c:v>1.7392590000000001</c:v>
                </c:pt>
                <c:pt idx="38">
                  <c:v>1.74007</c:v>
                </c:pt>
                <c:pt idx="39">
                  <c:v>1.740799</c:v>
                </c:pt>
                <c:pt idx="40">
                  <c:v>1.7414559999999999</c:v>
                </c:pt>
                <c:pt idx="41">
                  <c:v>1.7420469999999999</c:v>
                </c:pt>
                <c:pt idx="42">
                  <c:v>1.74258</c:v>
                </c:pt>
                <c:pt idx="43">
                  <c:v>1.743061</c:v>
                </c:pt>
                <c:pt idx="44">
                  <c:v>1.7434940000000001</c:v>
                </c:pt>
                <c:pt idx="45">
                  <c:v>1.7438849999999999</c:v>
                </c:pt>
                <c:pt idx="46">
                  <c:v>1.744238</c:v>
                </c:pt>
                <c:pt idx="47">
                  <c:v>1.7445569999999999</c:v>
                </c:pt>
                <c:pt idx="48">
                  <c:v>1.7448440000000001</c:v>
                </c:pt>
                <c:pt idx="49">
                  <c:v>1.745104</c:v>
                </c:pt>
                <c:pt idx="50">
                  <c:v>1.745339</c:v>
                </c:pt>
                <c:pt idx="51">
                  <c:v>1.7455510000000001</c:v>
                </c:pt>
                <c:pt idx="52">
                  <c:v>1.7457419999999999</c:v>
                </c:pt>
                <c:pt idx="53">
                  <c:v>1.745916</c:v>
                </c:pt>
                <c:pt idx="54">
                  <c:v>1.7460720000000001</c:v>
                </c:pt>
                <c:pt idx="55">
                  <c:v>1.7462139999999999</c:v>
                </c:pt>
                <c:pt idx="56">
                  <c:v>1.7463409999999999</c:v>
                </c:pt>
                <c:pt idx="57">
                  <c:v>1.7464569999999999</c:v>
                </c:pt>
                <c:pt idx="58">
                  <c:v>1.7465619999999999</c:v>
                </c:pt>
                <c:pt idx="59">
                  <c:v>1.746656</c:v>
                </c:pt>
              </c:numCache>
            </c:numRef>
          </c:xVal>
          <c:yVal>
            <c:numRef>
              <c:f>Wykresy!$C$4:$C$63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1.4510000000000001</c:v>
                </c:pt>
                <c:pt idx="3">
                  <c:v>1.230151</c:v>
                </c:pt>
                <c:pt idx="4">
                  <c:v>1.033606</c:v>
                </c:pt>
                <c:pt idx="5">
                  <c:v>0.85829800000000001</c:v>
                </c:pt>
                <c:pt idx="6">
                  <c:v>0.70163299999999995</c:v>
                </c:pt>
                <c:pt idx="7">
                  <c:v>0.56135900000000005</c:v>
                </c:pt>
                <c:pt idx="8">
                  <c:v>0.43549100000000002</c:v>
                </c:pt>
                <c:pt idx="9">
                  <c:v>0.322268</c:v>
                </c:pt>
                <c:pt idx="10">
                  <c:v>0.22011500000000001</c:v>
                </c:pt>
                <c:pt idx="11">
                  <c:v>0.12762200000000001</c:v>
                </c:pt>
                <c:pt idx="12">
                  <c:v>4.3528999999999998E-2</c:v>
                </c:pt>
                <c:pt idx="13">
                  <c:v>-3.3283E-2</c:v>
                </c:pt>
                <c:pt idx="14">
                  <c:v>-0.10379099999999999</c:v>
                </c:pt>
                <c:pt idx="15">
                  <c:v>-0.16882</c:v>
                </c:pt>
                <c:pt idx="16">
                  <c:v>-0.22903699999999999</c:v>
                </c:pt>
                <c:pt idx="17">
                  <c:v>-0.28493800000000002</c:v>
                </c:pt>
                <c:pt idx="18">
                  <c:v>-0.33685599999999999</c:v>
                </c:pt>
                <c:pt idx="19">
                  <c:v>-0.38499100000000003</c:v>
                </c:pt>
                <c:pt idx="20">
                  <c:v>-0.42946600000000001</c:v>
                </c:pt>
                <c:pt idx="21">
                  <c:v>-0.470383</c:v>
                </c:pt>
                <c:pt idx="22">
                  <c:v>-0.50786900000000001</c:v>
                </c:pt>
                <c:pt idx="23">
                  <c:v>-0.54208800000000001</c:v>
                </c:pt>
                <c:pt idx="24">
                  <c:v>-0.57324200000000003</c:v>
                </c:pt>
                <c:pt idx="25">
                  <c:v>-0.601553</c:v>
                </c:pt>
                <c:pt idx="26">
                  <c:v>-0.627247</c:v>
                </c:pt>
                <c:pt idx="27">
                  <c:v>-0.65054900000000004</c:v>
                </c:pt>
                <c:pt idx="28">
                  <c:v>-0.67166899999999996</c:v>
                </c:pt>
                <c:pt idx="29">
                  <c:v>-0.69080600000000003</c:v>
                </c:pt>
                <c:pt idx="30">
                  <c:v>-0.70814100000000002</c:v>
                </c:pt>
                <c:pt idx="31">
                  <c:v>-0.72384099999999996</c:v>
                </c:pt>
                <c:pt idx="32">
                  <c:v>-0.73805799999999999</c:v>
                </c:pt>
                <c:pt idx="33">
                  <c:v>-0.75093200000000004</c:v>
                </c:pt>
                <c:pt idx="34">
                  <c:v>-0.76258800000000004</c:v>
                </c:pt>
                <c:pt idx="35">
                  <c:v>-0.77314099999999997</c:v>
                </c:pt>
                <c:pt idx="36">
                  <c:v>-0.78269500000000003</c:v>
                </c:pt>
                <c:pt idx="37">
                  <c:v>-0.79134300000000002</c:v>
                </c:pt>
                <c:pt idx="38">
                  <c:v>-0.79917199999999999</c:v>
                </c:pt>
                <c:pt idx="39">
                  <c:v>-0.80625800000000003</c:v>
                </c:pt>
                <c:pt idx="40">
                  <c:v>-0.81267199999999995</c:v>
                </c:pt>
                <c:pt idx="41">
                  <c:v>-0.81847800000000004</c:v>
                </c:pt>
                <c:pt idx="42">
                  <c:v>-0.82373200000000002</c:v>
                </c:pt>
                <c:pt idx="43">
                  <c:v>-0.828488</c:v>
                </c:pt>
                <c:pt idx="44">
                  <c:v>-0.83279199999999998</c:v>
                </c:pt>
                <c:pt idx="45">
                  <c:v>-0.83668799999999999</c:v>
                </c:pt>
                <c:pt idx="46">
                  <c:v>-0.84021299999999999</c:v>
                </c:pt>
                <c:pt idx="47">
                  <c:v>-0.84340400000000004</c:v>
                </c:pt>
                <c:pt idx="48">
                  <c:v>-0.84629100000000002</c:v>
                </c:pt>
                <c:pt idx="49">
                  <c:v>-0.84890399999999999</c:v>
                </c:pt>
                <c:pt idx="50">
                  <c:v>-0.85126900000000005</c:v>
                </c:pt>
                <c:pt idx="51">
                  <c:v>-0.85340899999999997</c:v>
                </c:pt>
                <c:pt idx="52">
                  <c:v>-0.85534600000000005</c:v>
                </c:pt>
                <c:pt idx="53">
                  <c:v>-0.85709800000000003</c:v>
                </c:pt>
                <c:pt idx="54">
                  <c:v>-0.858684</c:v>
                </c:pt>
                <c:pt idx="55">
                  <c:v>-0.86012</c:v>
                </c:pt>
                <c:pt idx="56">
                  <c:v>-0.86141800000000002</c:v>
                </c:pt>
                <c:pt idx="57">
                  <c:v>-0.86259300000000005</c:v>
                </c:pt>
                <c:pt idx="58">
                  <c:v>-0.86365700000000001</c:v>
                </c:pt>
                <c:pt idx="59">
                  <c:v>-0.86461900000000003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ACD-40FF-925E-46AA4C981AE5}"/>
            </c:ext>
          </c:extLst>
        </c:ser>
        <c:ser>
          <c:idx val="6"/>
          <c:order val="3"/>
          <c:tx>
            <c:v>SD 0.25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pPr>
              <a:solidFill>
                <a:schemeClr val="accent3">
                  <a:lumMod val="75000"/>
                </a:schemeClr>
              </a:solidFill>
            </c:spPr>
          </c:marker>
          <c:xVal>
            <c:numRef>
              <c:f>Wykresy!$D$4:$D$63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-0.12604699999999999</c:v>
                </c:pt>
                <c:pt idx="3">
                  <c:v>-7.0845000000000005E-2</c:v>
                </c:pt>
                <c:pt idx="4">
                  <c:v>-4.2625999999999997E-2</c:v>
                </c:pt>
                <c:pt idx="5">
                  <c:v>-2.5635999999999999E-2</c:v>
                </c:pt>
                <c:pt idx="6">
                  <c:v>-1.5459000000000001E-2</c:v>
                </c:pt>
                <c:pt idx="7">
                  <c:v>-9.3270000000000002E-3</c:v>
                </c:pt>
                <c:pt idx="8">
                  <c:v>-5.6280000000000002E-3</c:v>
                </c:pt>
                <c:pt idx="9">
                  <c:v>-3.3969999999999998E-3</c:v>
                </c:pt>
                <c:pt idx="10">
                  <c:v>-2.0500000000000002E-3</c:v>
                </c:pt>
                <c:pt idx="11">
                  <c:v>-1.237E-3</c:v>
                </c:pt>
                <c:pt idx="12">
                  <c:v>-7.4700000000000005E-4</c:v>
                </c:pt>
                <c:pt idx="13">
                  <c:v>-4.5100000000000001E-4</c:v>
                </c:pt>
              </c:numCache>
            </c:numRef>
          </c:xVal>
          <c:yVal>
            <c:numRef>
              <c:f>Wykresy!$E$4:$E$63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0.27500000000000002</c:v>
                </c:pt>
                <c:pt idx="3">
                  <c:v>0.169012</c:v>
                </c:pt>
                <c:pt idx="4">
                  <c:v>0.102217</c:v>
                </c:pt>
                <c:pt idx="5">
                  <c:v>6.1765E-2</c:v>
                </c:pt>
                <c:pt idx="6">
                  <c:v>3.7290999999999998E-2</c:v>
                </c:pt>
                <c:pt idx="7">
                  <c:v>2.2509999999999999E-2</c:v>
                </c:pt>
                <c:pt idx="8">
                  <c:v>1.3587E-2</c:v>
                </c:pt>
                <c:pt idx="9">
                  <c:v>8.201E-3</c:v>
                </c:pt>
                <c:pt idx="10">
                  <c:v>4.9500000000000004E-3</c:v>
                </c:pt>
                <c:pt idx="11">
                  <c:v>2.9870000000000001E-3</c:v>
                </c:pt>
                <c:pt idx="12">
                  <c:v>1.8029999999999999E-3</c:v>
                </c:pt>
                <c:pt idx="13">
                  <c:v>1.088E-3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ACD-40FF-925E-46AA4C981AE5}"/>
            </c:ext>
          </c:extLst>
        </c:ser>
        <c:ser>
          <c:idx val="0"/>
          <c:order val="6"/>
          <c:tx>
            <c:v>SD zmienny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Wykresy!$F$4:$F$63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1.0066839999999999</c:v>
                </c:pt>
                <c:pt idx="3">
                  <c:v>0.82910399999999995</c:v>
                </c:pt>
                <c:pt idx="4">
                  <c:v>0.62784600000000002</c:v>
                </c:pt>
                <c:pt idx="5">
                  <c:v>0.423425</c:v>
                </c:pt>
                <c:pt idx="6">
                  <c:v>0.25284200000000001</c:v>
                </c:pt>
                <c:pt idx="7">
                  <c:v>0.13710800000000001</c:v>
                </c:pt>
                <c:pt idx="8">
                  <c:v>6.8718000000000001E-2</c:v>
                </c:pt>
                <c:pt idx="9">
                  <c:v>3.0952E-2</c:v>
                </c:pt>
                <c:pt idx="10">
                  <c:v>1.0886E-2</c:v>
                </c:pt>
                <c:pt idx="11">
                  <c:v>6.5200000000000002E-4</c:v>
                </c:pt>
                <c:pt idx="12">
                  <c:v>-4.2230000000000002E-3</c:v>
                </c:pt>
                <c:pt idx="13">
                  <c:v>-6.2300000000000003E-3</c:v>
                </c:pt>
                <c:pt idx="14">
                  <c:v>-6.7450000000000001E-3</c:v>
                </c:pt>
                <c:pt idx="15">
                  <c:v>-6.5189999999999996E-3</c:v>
                </c:pt>
                <c:pt idx="16">
                  <c:v>-5.96E-3</c:v>
                </c:pt>
                <c:pt idx="17">
                  <c:v>-5.2830000000000004E-3</c:v>
                </c:pt>
                <c:pt idx="18">
                  <c:v>-4.5960000000000003E-3</c:v>
                </c:pt>
                <c:pt idx="19">
                  <c:v>-3.9529999999999999E-3</c:v>
                </c:pt>
                <c:pt idx="20">
                  <c:v>-3.375E-3</c:v>
                </c:pt>
                <c:pt idx="21">
                  <c:v>-2.8679999999999999E-3</c:v>
                </c:pt>
                <c:pt idx="22">
                  <c:v>-2.4299999999999999E-3</c:v>
                </c:pt>
                <c:pt idx="23">
                  <c:v>-2.0539999999999998E-3</c:v>
                </c:pt>
                <c:pt idx="24">
                  <c:v>-1.7340000000000001E-3</c:v>
                </c:pt>
              </c:numCache>
            </c:numRef>
          </c:xVal>
          <c:yVal>
            <c:numRef>
              <c:f>Wykresy!$G$4:$G$63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1.007223</c:v>
                </c:pt>
                <c:pt idx="3">
                  <c:v>0.70633800000000002</c:v>
                </c:pt>
                <c:pt idx="4">
                  <c:v>0.483072</c:v>
                </c:pt>
                <c:pt idx="5">
                  <c:v>0.32432100000000003</c:v>
                </c:pt>
                <c:pt idx="6">
                  <c:v>0.21754999999999999</c:v>
                </c:pt>
                <c:pt idx="7">
                  <c:v>0.149035</c:v>
                </c:pt>
                <c:pt idx="8">
                  <c:v>0.105694</c:v>
                </c:pt>
                <c:pt idx="9">
                  <c:v>7.7797000000000005E-2</c:v>
                </c:pt>
                <c:pt idx="10">
                  <c:v>5.9219000000000001E-2</c:v>
                </c:pt>
                <c:pt idx="11">
                  <c:v>4.6338999999999998E-2</c:v>
                </c:pt>
                <c:pt idx="12">
                  <c:v>3.7044000000000001E-2</c:v>
                </c:pt>
                <c:pt idx="13">
                  <c:v>3.0086000000000002E-2</c:v>
                </c:pt>
                <c:pt idx="14">
                  <c:v>2.4714E-2</c:v>
                </c:pt>
                <c:pt idx="15">
                  <c:v>2.0462999999999999E-2</c:v>
                </c:pt>
                <c:pt idx="16">
                  <c:v>1.7035999999999999E-2</c:v>
                </c:pt>
                <c:pt idx="17">
                  <c:v>1.4236E-2</c:v>
                </c:pt>
                <c:pt idx="18">
                  <c:v>1.1927E-2</c:v>
                </c:pt>
                <c:pt idx="19">
                  <c:v>1.0009000000000001E-2</c:v>
                </c:pt>
                <c:pt idx="20">
                  <c:v>8.4089999999999998E-3</c:v>
                </c:pt>
                <c:pt idx="21">
                  <c:v>7.0699999999999999E-3</c:v>
                </c:pt>
                <c:pt idx="22">
                  <c:v>5.947E-3</c:v>
                </c:pt>
                <c:pt idx="23">
                  <c:v>5.0049999999999999E-3</c:v>
                </c:pt>
                <c:pt idx="24">
                  <c:v>4.2119999999999996E-3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ACD-40FF-925E-46AA4C98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CG</c:v>
                </c:tx>
                <c:xVal>
                  <c:numRef>
                    <c:extLst>
                      <c:ext uri="{02D57815-91ED-43cb-92C2-25804820EDAC}">
                        <c15:formulaRef>
                          <c15:sqref>Wykresy!$H$4:$H$63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1.410561</c:v>
                      </c:pt>
                      <c:pt idx="3">
                        <c:v>1.2546809999999999</c:v>
                      </c:pt>
                      <c:pt idx="4">
                        <c:v>1.124342</c:v>
                      </c:pt>
                      <c:pt idx="5">
                        <c:v>1.0117670000000001</c:v>
                      </c:pt>
                      <c:pt idx="6">
                        <c:v>0.90291600000000005</c:v>
                      </c:pt>
                      <c:pt idx="7">
                        <c:v>0.78082799999999997</c:v>
                      </c:pt>
                      <c:pt idx="8">
                        <c:v>0.62366299999999997</c:v>
                      </c:pt>
                      <c:pt idx="9">
                        <c:v>0.41953400000000002</c:v>
                      </c:pt>
                      <c:pt idx="10">
                        <c:v>0.20857700000000001</c:v>
                      </c:pt>
                      <c:pt idx="11">
                        <c:v>-1.6990999999999999E-2</c:v>
                      </c:pt>
                      <c:pt idx="12">
                        <c:v>-0.45032299999999997</c:v>
                      </c:pt>
                      <c:pt idx="13">
                        <c:v>-1.728939</c:v>
                      </c:pt>
                      <c:pt idx="14">
                        <c:v>-3.414193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Wykresy!$I$4:$I$63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1.3764179999999999</c:v>
                      </c:pt>
                      <c:pt idx="3">
                        <c:v>0.94840500000000005</c:v>
                      </c:pt>
                      <c:pt idx="4">
                        <c:v>0.54014600000000002</c:v>
                      </c:pt>
                      <c:pt idx="5">
                        <c:v>0.21272199999999999</c:v>
                      </c:pt>
                      <c:pt idx="6">
                        <c:v>-3.4669999999999999E-2</c:v>
                      </c:pt>
                      <c:pt idx="7">
                        <c:v>-0.23047500000000001</c:v>
                      </c:pt>
                      <c:pt idx="8">
                        <c:v>-0.40361799999999998</c:v>
                      </c:pt>
                      <c:pt idx="9">
                        <c:v>-0.55506100000000003</c:v>
                      </c:pt>
                      <c:pt idx="10">
                        <c:v>-0.64640299999999995</c:v>
                      </c:pt>
                      <c:pt idx="11">
                        <c:v>-0.686608</c:v>
                      </c:pt>
                      <c:pt idx="12">
                        <c:v>-0.70106000000000002</c:v>
                      </c:pt>
                      <c:pt idx="13">
                        <c:v>-0.65464299999999997</c:v>
                      </c:pt>
                      <c:pt idx="14">
                        <c:v>-0.43917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3-1ACD-40FF-925E-46AA4C981AE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Newton</c:v>
                </c:tx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Wykresy!$N$4:$N$102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1.991843</c:v>
                      </c:pt>
                      <c:pt idx="2">
                        <c:v>1.9838750000000001</c:v>
                      </c:pt>
                      <c:pt idx="3">
                        <c:v>1.976094</c:v>
                      </c:pt>
                      <c:pt idx="4">
                        <c:v>1.9684980000000001</c:v>
                      </c:pt>
                      <c:pt idx="5">
                        <c:v>1.9610860000000001</c:v>
                      </c:pt>
                      <c:pt idx="6">
                        <c:v>1.953856</c:v>
                      </c:pt>
                      <c:pt idx="7">
                        <c:v>1.9468049999999999</c:v>
                      </c:pt>
                      <c:pt idx="8">
                        <c:v>1.9399329999999999</c:v>
                      </c:pt>
                      <c:pt idx="9">
                        <c:v>1.9332370000000001</c:v>
                      </c:pt>
                      <c:pt idx="10">
                        <c:v>1.926715</c:v>
                      </c:pt>
                      <c:pt idx="11">
                        <c:v>1.920366</c:v>
                      </c:pt>
                      <c:pt idx="12">
                        <c:v>1.9141859999999999</c:v>
                      </c:pt>
                      <c:pt idx="13">
                        <c:v>1.908174</c:v>
                      </c:pt>
                      <c:pt idx="14">
                        <c:v>1.902328</c:v>
                      </c:pt>
                      <c:pt idx="15">
                        <c:v>1.8966460000000001</c:v>
                      </c:pt>
                      <c:pt idx="16">
                        <c:v>1.8911249999999999</c:v>
                      </c:pt>
                      <c:pt idx="17">
                        <c:v>1.8857630000000001</c:v>
                      </c:pt>
                      <c:pt idx="18">
                        <c:v>1.880558</c:v>
                      </c:pt>
                      <c:pt idx="19">
                        <c:v>1.875507</c:v>
                      </c:pt>
                      <c:pt idx="20">
                        <c:v>1.870608</c:v>
                      </c:pt>
                      <c:pt idx="21">
                        <c:v>1.865858</c:v>
                      </c:pt>
                      <c:pt idx="22">
                        <c:v>1.861256</c:v>
                      </c:pt>
                      <c:pt idx="23">
                        <c:v>1.856797</c:v>
                      </c:pt>
                      <c:pt idx="24">
                        <c:v>1.852481</c:v>
                      </c:pt>
                      <c:pt idx="25">
                        <c:v>1.848303</c:v>
                      </c:pt>
                      <c:pt idx="26">
                        <c:v>1.8442620000000001</c:v>
                      </c:pt>
                      <c:pt idx="27">
                        <c:v>1.840355</c:v>
                      </c:pt>
                      <c:pt idx="28">
                        <c:v>1.836578</c:v>
                      </c:pt>
                      <c:pt idx="29">
                        <c:v>1.8329299999999999</c:v>
                      </c:pt>
                      <c:pt idx="30">
                        <c:v>1.8294079999999999</c:v>
                      </c:pt>
                      <c:pt idx="31">
                        <c:v>1.8260080000000001</c:v>
                      </c:pt>
                      <c:pt idx="32">
                        <c:v>1.822727</c:v>
                      </c:pt>
                      <c:pt idx="33">
                        <c:v>1.819564</c:v>
                      </c:pt>
                      <c:pt idx="34">
                        <c:v>1.8165150000000001</c:v>
                      </c:pt>
                      <c:pt idx="35">
                        <c:v>1.813577</c:v>
                      </c:pt>
                      <c:pt idx="36">
                        <c:v>1.8107470000000001</c:v>
                      </c:pt>
                      <c:pt idx="37">
                        <c:v>1.8080229999999999</c:v>
                      </c:pt>
                      <c:pt idx="38">
                        <c:v>1.805402</c:v>
                      </c:pt>
                      <c:pt idx="39">
                        <c:v>1.80288</c:v>
                      </c:pt>
                      <c:pt idx="40">
                        <c:v>1.8004560000000001</c:v>
                      </c:pt>
                      <c:pt idx="41">
                        <c:v>1.7981259999999999</c:v>
                      </c:pt>
                      <c:pt idx="42">
                        <c:v>1.795887</c:v>
                      </c:pt>
                      <c:pt idx="43">
                        <c:v>1.7937369999999999</c:v>
                      </c:pt>
                      <c:pt idx="44">
                        <c:v>1.7916730000000001</c:v>
                      </c:pt>
                      <c:pt idx="45">
                        <c:v>1.7896920000000001</c:v>
                      </c:pt>
                      <c:pt idx="46">
                        <c:v>1.787792</c:v>
                      </c:pt>
                      <c:pt idx="47">
                        <c:v>1.7859700000000001</c:v>
                      </c:pt>
                      <c:pt idx="48">
                        <c:v>1.7842229999999999</c:v>
                      </c:pt>
                      <c:pt idx="49">
                        <c:v>1.7825489999999999</c:v>
                      </c:pt>
                      <c:pt idx="50">
                        <c:v>1.780945</c:v>
                      </c:pt>
                      <c:pt idx="51">
                        <c:v>1.779409</c:v>
                      </c:pt>
                      <c:pt idx="52">
                        <c:v>1.777938</c:v>
                      </c:pt>
                      <c:pt idx="53">
                        <c:v>1.7765299999999999</c:v>
                      </c:pt>
                      <c:pt idx="54">
                        <c:v>1.775183</c:v>
                      </c:pt>
                      <c:pt idx="55">
                        <c:v>1.773895</c:v>
                      </c:pt>
                      <c:pt idx="56">
                        <c:v>1.7726630000000001</c:v>
                      </c:pt>
                      <c:pt idx="57">
                        <c:v>1.771485</c:v>
                      </c:pt>
                      <c:pt idx="58">
                        <c:v>1.770359</c:v>
                      </c:pt>
                      <c:pt idx="59">
                        <c:v>1.7692829999999999</c:v>
                      </c:pt>
                      <c:pt idx="60">
                        <c:v>1.768256</c:v>
                      </c:pt>
                      <c:pt idx="61">
                        <c:v>1.767274</c:v>
                      </c:pt>
                      <c:pt idx="62">
                        <c:v>1.766337</c:v>
                      </c:pt>
                      <c:pt idx="63">
                        <c:v>1.765442</c:v>
                      </c:pt>
                      <c:pt idx="64">
                        <c:v>1.764588</c:v>
                      </c:pt>
                      <c:pt idx="65">
                        <c:v>1.763773</c:v>
                      </c:pt>
                      <c:pt idx="66">
                        <c:v>1.7629950000000001</c:v>
                      </c:pt>
                      <c:pt idx="67">
                        <c:v>1.7622530000000001</c:v>
                      </c:pt>
                      <c:pt idx="68">
                        <c:v>1.7615460000000001</c:v>
                      </c:pt>
                      <c:pt idx="69">
                        <c:v>1.7608710000000001</c:v>
                      </c:pt>
                      <c:pt idx="70">
                        <c:v>1.7602279999999999</c:v>
                      </c:pt>
                      <c:pt idx="71">
                        <c:v>1.7596149999999999</c:v>
                      </c:pt>
                      <c:pt idx="72">
                        <c:v>1.7590300000000001</c:v>
                      </c:pt>
                      <c:pt idx="73">
                        <c:v>1.7584740000000001</c:v>
                      </c:pt>
                      <c:pt idx="74">
                        <c:v>1.757943</c:v>
                      </c:pt>
                      <c:pt idx="75">
                        <c:v>1.7574369999999999</c:v>
                      </c:pt>
                      <c:pt idx="76">
                        <c:v>1.756956</c:v>
                      </c:pt>
                      <c:pt idx="77">
                        <c:v>1.756497</c:v>
                      </c:pt>
                      <c:pt idx="78">
                        <c:v>1.75606</c:v>
                      </c:pt>
                      <c:pt idx="79">
                        <c:v>1.755644</c:v>
                      </c:pt>
                      <c:pt idx="80">
                        <c:v>1.7552479999999999</c:v>
                      </c:pt>
                      <c:pt idx="81">
                        <c:v>1.7548710000000001</c:v>
                      </c:pt>
                      <c:pt idx="82">
                        <c:v>1.7545120000000001</c:v>
                      </c:pt>
                      <c:pt idx="83">
                        <c:v>1.7541709999999999</c:v>
                      </c:pt>
                      <c:pt idx="84">
                        <c:v>1.753846</c:v>
                      </c:pt>
                      <c:pt idx="85">
                        <c:v>1.753536</c:v>
                      </c:pt>
                      <c:pt idx="86">
                        <c:v>1.753242</c:v>
                      </c:pt>
                      <c:pt idx="87">
                        <c:v>1.752961</c:v>
                      </c:pt>
                      <c:pt idx="88">
                        <c:v>1.7526949999999999</c:v>
                      </c:pt>
                      <c:pt idx="89">
                        <c:v>1.7524409999999999</c:v>
                      </c:pt>
                      <c:pt idx="90">
                        <c:v>1.7522</c:v>
                      </c:pt>
                      <c:pt idx="91">
                        <c:v>1.75197</c:v>
                      </c:pt>
                      <c:pt idx="92">
                        <c:v>1.751752</c:v>
                      </c:pt>
                      <c:pt idx="93">
                        <c:v>1.751544</c:v>
                      </c:pt>
                      <c:pt idx="94">
                        <c:v>1.751347</c:v>
                      </c:pt>
                      <c:pt idx="95">
                        <c:v>1.7511589999999999</c:v>
                      </c:pt>
                      <c:pt idx="96">
                        <c:v>1.75098</c:v>
                      </c:pt>
                      <c:pt idx="97">
                        <c:v>1.7508109999999999</c:v>
                      </c:pt>
                      <c:pt idx="98">
                        <c:v>1.7506489999999999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Wykresy!$O$4:$O$102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1.854079</c:v>
                      </c:pt>
                      <c:pt idx="2">
                        <c:v>1.7155629999999999</c:v>
                      </c:pt>
                      <c:pt idx="3">
                        <c:v>1.5840780000000001</c:v>
                      </c:pt>
                      <c:pt idx="4">
                        <c:v>1.4592700000000001</c:v>
                      </c:pt>
                      <c:pt idx="5">
                        <c:v>1.3408</c:v>
                      </c:pt>
                      <c:pt idx="6">
                        <c:v>1.228348</c:v>
                      </c:pt>
                      <c:pt idx="7">
                        <c:v>1.1216090000000001</c:v>
                      </c:pt>
                      <c:pt idx="8">
                        <c:v>1.020295</c:v>
                      </c:pt>
                      <c:pt idx="9">
                        <c:v>0.92413000000000001</c:v>
                      </c:pt>
                      <c:pt idx="10">
                        <c:v>0.83285299999999995</c:v>
                      </c:pt>
                      <c:pt idx="11">
                        <c:v>0.74621700000000002</c:v>
                      </c:pt>
                      <c:pt idx="12">
                        <c:v>0.66398699999999999</c:v>
                      </c:pt>
                      <c:pt idx="13">
                        <c:v>0.58593899999999999</c:v>
                      </c:pt>
                      <c:pt idx="14">
                        <c:v>0.51186100000000001</c:v>
                      </c:pt>
                      <c:pt idx="15">
                        <c:v>0.44155100000000003</c:v>
                      </c:pt>
                      <c:pt idx="16">
                        <c:v>0.37481799999999998</c:v>
                      </c:pt>
                      <c:pt idx="17">
                        <c:v>0.31147900000000001</c:v>
                      </c:pt>
                      <c:pt idx="18">
                        <c:v>0.25136399999999998</c:v>
                      </c:pt>
                      <c:pt idx="19">
                        <c:v>0.19430700000000001</c:v>
                      </c:pt>
                      <c:pt idx="20">
                        <c:v>0.140154</c:v>
                      </c:pt>
                      <c:pt idx="21">
                        <c:v>8.8756000000000002E-2</c:v>
                      </c:pt>
                      <c:pt idx="22">
                        <c:v>3.9973000000000002E-2</c:v>
                      </c:pt>
                      <c:pt idx="23">
                        <c:v>-6.3280000000000003E-3</c:v>
                      </c:pt>
                      <c:pt idx="24">
                        <c:v>-5.0272999999999998E-2</c:v>
                      </c:pt>
                      <c:pt idx="25">
                        <c:v>-9.1982999999999995E-2</c:v>
                      </c:pt>
                      <c:pt idx="26">
                        <c:v>-0.13157099999999999</c:v>
                      </c:pt>
                      <c:pt idx="27">
                        <c:v>-0.16914499999999999</c:v>
                      </c:pt>
                      <c:pt idx="28">
                        <c:v>-0.20480899999999999</c:v>
                      </c:pt>
                      <c:pt idx="29">
                        <c:v>-0.23865900000000001</c:v>
                      </c:pt>
                      <c:pt idx="30">
                        <c:v>-0.27078799999999997</c:v>
                      </c:pt>
                      <c:pt idx="31">
                        <c:v>-0.30128300000000002</c:v>
                      </c:pt>
                      <c:pt idx="32">
                        <c:v>-0.33022899999999999</c:v>
                      </c:pt>
                      <c:pt idx="33">
                        <c:v>-0.35770400000000002</c:v>
                      </c:pt>
                      <c:pt idx="34">
                        <c:v>-0.38378299999999999</c:v>
                      </c:pt>
                      <c:pt idx="35">
                        <c:v>-0.40853800000000001</c:v>
                      </c:pt>
                      <c:pt idx="36">
                        <c:v>-0.43203599999999998</c:v>
                      </c:pt>
                      <c:pt idx="37">
                        <c:v>-0.45434099999999999</c:v>
                      </c:pt>
                      <c:pt idx="38">
                        <c:v>-0.47551399999999999</c:v>
                      </c:pt>
                      <c:pt idx="39">
                        <c:v>-0.495612</c:v>
                      </c:pt>
                      <c:pt idx="40">
                        <c:v>-0.51469200000000004</c:v>
                      </c:pt>
                      <c:pt idx="41">
                        <c:v>-0.53280300000000003</c:v>
                      </c:pt>
                      <c:pt idx="42">
                        <c:v>-0.54999699999999996</c:v>
                      </c:pt>
                      <c:pt idx="43">
                        <c:v>-0.56631900000000002</c:v>
                      </c:pt>
                      <c:pt idx="44">
                        <c:v>-0.58181499999999997</c:v>
                      </c:pt>
                      <c:pt idx="45">
                        <c:v>-0.59652499999999997</c:v>
                      </c:pt>
                      <c:pt idx="46">
                        <c:v>-0.61049100000000001</c:v>
                      </c:pt>
                      <c:pt idx="47">
                        <c:v>-0.62375000000000003</c:v>
                      </c:pt>
                      <c:pt idx="48">
                        <c:v>-0.63633899999999999</c:v>
                      </c:pt>
                      <c:pt idx="49">
                        <c:v>-0.64829000000000003</c:v>
                      </c:pt>
                      <c:pt idx="50">
                        <c:v>-0.65963700000000003</c:v>
                      </c:pt>
                      <c:pt idx="51">
                        <c:v>-0.67041099999999998</c:v>
                      </c:pt>
                      <c:pt idx="52">
                        <c:v>-0.68064000000000002</c:v>
                      </c:pt>
                      <c:pt idx="53">
                        <c:v>-0.69035299999999999</c:v>
                      </c:pt>
                      <c:pt idx="54">
                        <c:v>-0.69957499999999995</c:v>
                      </c:pt>
                      <c:pt idx="55">
                        <c:v>-0.70833199999999996</c:v>
                      </c:pt>
                      <c:pt idx="56">
                        <c:v>-0.71664700000000003</c:v>
                      </c:pt>
                      <c:pt idx="57">
                        <c:v>-0.72454200000000002</c:v>
                      </c:pt>
                      <c:pt idx="58">
                        <c:v>-0.732039</c:v>
                      </c:pt>
                      <c:pt idx="59">
                        <c:v>-0.73915799999999998</c:v>
                      </c:pt>
                      <c:pt idx="60">
                        <c:v>-0.74591799999999997</c:v>
                      </c:pt>
                      <c:pt idx="61">
                        <c:v>-0.75233799999999995</c:v>
                      </c:pt>
                      <c:pt idx="62">
                        <c:v>-0.75843400000000005</c:v>
                      </c:pt>
                      <c:pt idx="63">
                        <c:v>-0.76422400000000001</c:v>
                      </c:pt>
                      <c:pt idx="64">
                        <c:v>-0.76972099999999999</c:v>
                      </c:pt>
                      <c:pt idx="65">
                        <c:v>-0.77494300000000005</c:v>
                      </c:pt>
                      <c:pt idx="66">
                        <c:v>-0.77990099999999996</c:v>
                      </c:pt>
                      <c:pt idx="67">
                        <c:v>-0.78461000000000003</c:v>
                      </c:pt>
                      <c:pt idx="68">
                        <c:v>-0.78908199999999995</c:v>
                      </c:pt>
                      <c:pt idx="69">
                        <c:v>-0.79332899999999995</c:v>
                      </c:pt>
                      <c:pt idx="70">
                        <c:v>-0.79736300000000004</c:v>
                      </c:pt>
                      <c:pt idx="71">
                        <c:v>-0.80119399999999996</c:v>
                      </c:pt>
                      <c:pt idx="72">
                        <c:v>-0.80483199999999999</c:v>
                      </c:pt>
                      <c:pt idx="73">
                        <c:v>-0.80828800000000001</c:v>
                      </c:pt>
                      <c:pt idx="74">
                        <c:v>-0.81157000000000001</c:v>
                      </c:pt>
                      <c:pt idx="75">
                        <c:v>-0.81468700000000005</c:v>
                      </c:pt>
                      <c:pt idx="76">
                        <c:v>-0.81764800000000004</c:v>
                      </c:pt>
                      <c:pt idx="77">
                        <c:v>-0.82045999999999997</c:v>
                      </c:pt>
                      <c:pt idx="78">
                        <c:v>-0.82313099999999995</c:v>
                      </c:pt>
                      <c:pt idx="79">
                        <c:v>-0.82566799999999996</c:v>
                      </c:pt>
                      <c:pt idx="80">
                        <c:v>-0.82807799999999998</c:v>
                      </c:pt>
                      <c:pt idx="81">
                        <c:v>-0.83036699999999997</c:v>
                      </c:pt>
                      <c:pt idx="82">
                        <c:v>-0.83254099999999998</c:v>
                      </c:pt>
                      <c:pt idx="83">
                        <c:v>-0.83460599999999996</c:v>
                      </c:pt>
                      <c:pt idx="84">
                        <c:v>-0.83656699999999995</c:v>
                      </c:pt>
                      <c:pt idx="85">
                        <c:v>-0.83843000000000001</c:v>
                      </c:pt>
                      <c:pt idx="86">
                        <c:v>-0.84019999999999995</c:v>
                      </c:pt>
                      <c:pt idx="87">
                        <c:v>-0.84188099999999999</c:v>
                      </c:pt>
                      <c:pt idx="88">
                        <c:v>-0.84347700000000003</c:v>
                      </c:pt>
                      <c:pt idx="89">
                        <c:v>-0.84499400000000002</c:v>
                      </c:pt>
                      <c:pt idx="90">
                        <c:v>-0.84643500000000005</c:v>
                      </c:pt>
                      <c:pt idx="91">
                        <c:v>-0.84780299999999997</c:v>
                      </c:pt>
                      <c:pt idx="92">
                        <c:v>-0.84910300000000005</c:v>
                      </c:pt>
                      <c:pt idx="93">
                        <c:v>-0.85033800000000004</c:v>
                      </c:pt>
                      <c:pt idx="94">
                        <c:v>-0.85151100000000002</c:v>
                      </c:pt>
                      <c:pt idx="95">
                        <c:v>-0.85262499999999997</c:v>
                      </c:pt>
                      <c:pt idx="96">
                        <c:v>-0.853684</c:v>
                      </c:pt>
                      <c:pt idx="97">
                        <c:v>-0.85468900000000003</c:v>
                      </c:pt>
                      <c:pt idx="98">
                        <c:v>-0.85564399999999996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4-1ACD-40FF-925E-46AA4C981AE5}"/>
                  </c:ext>
                </c:extLst>
              </c15:ser>
            </c15:filteredScatterSeries>
            <c15:filteredScatterSeries>
              <c15:ser>
                <c:idx val="7"/>
                <c:order val="4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Wykresy!$J$4:$J$63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-0.14222399999999999</c:v>
                      </c:pt>
                      <c:pt idx="3">
                        <c:v>-8.0907999999999994E-2</c:v>
                      </c:pt>
                      <c:pt idx="4">
                        <c:v>-8.9560000000000004E-3</c:v>
                      </c:pt>
                      <c:pt idx="5">
                        <c:v>-4.2789999999999998E-3</c:v>
                      </c:pt>
                      <c:pt idx="6">
                        <c:v>-2.0709999999999999E-3</c:v>
                      </c:pt>
                      <c:pt idx="7">
                        <c:v>-8.0800000000000002E-4</c:v>
                      </c:pt>
                      <c:pt idx="8">
                        <c:v>-2.22E-4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Wykresy!$K$4:$K$63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0.26344499999999998</c:v>
                      </c:pt>
                      <c:pt idx="3">
                        <c:v>9.9824999999999997E-2</c:v>
                      </c:pt>
                      <c:pt idx="4">
                        <c:v>2.5961000000000001E-2</c:v>
                      </c:pt>
                      <c:pt idx="5">
                        <c:v>1.2947999999999999E-2</c:v>
                      </c:pt>
                      <c:pt idx="6">
                        <c:v>4.2979999999999997E-3</c:v>
                      </c:pt>
                      <c:pt idx="7">
                        <c:v>1.6230000000000001E-3</c:v>
                      </c:pt>
                      <c:pt idx="8">
                        <c:v>6.2299999999999996E-4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6-1ACD-40FF-925E-46AA4C981AE5}"/>
                  </c:ext>
                </c:extLst>
              </c15:ser>
            </c15:filteredScatterSeries>
            <c15:filteredScatterSeries>
              <c15:ser>
                <c:idx val="8"/>
                <c:order val="5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Wykresy!$P$4:$P$102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1.9592149999999999</c:v>
                      </c:pt>
                      <c:pt idx="2">
                        <c:v>1.923295</c:v>
                      </c:pt>
                      <c:pt idx="3">
                        <c:v>1.8920030000000001</c:v>
                      </c:pt>
                      <c:pt idx="4">
                        <c:v>1.8650659999999999</c:v>
                      </c:pt>
                      <c:pt idx="5">
                        <c:v>1.842176</c:v>
                      </c:pt>
                      <c:pt idx="6">
                        <c:v>1.8229880000000001</c:v>
                      </c:pt>
                      <c:pt idx="7">
                        <c:v>1.8071250000000001</c:v>
                      </c:pt>
                      <c:pt idx="8">
                        <c:v>1.794189</c:v>
                      </c:pt>
                      <c:pt idx="9">
                        <c:v>1.7837780000000001</c:v>
                      </c:pt>
                      <c:pt idx="10">
                        <c:v>1.7755000000000001</c:v>
                      </c:pt>
                      <c:pt idx="11">
                        <c:v>1.7689889999999999</c:v>
                      </c:pt>
                      <c:pt idx="12">
                        <c:v>1.763916</c:v>
                      </c:pt>
                      <c:pt idx="13">
                        <c:v>1.759995</c:v>
                      </c:pt>
                      <c:pt idx="14">
                        <c:v>1.7569840000000001</c:v>
                      </c:pt>
                      <c:pt idx="15">
                        <c:v>1.7546839999999999</c:v>
                      </c:pt>
                      <c:pt idx="16">
                        <c:v>1.752934</c:v>
                      </c:pt>
                      <c:pt idx="17">
                        <c:v>1.7516080000000001</c:v>
                      </c:pt>
                      <c:pt idx="18">
                        <c:v>1.750605</c:v>
                      </c:pt>
                      <c:pt idx="19">
                        <c:v>1.7498480000000001</c:v>
                      </c:pt>
                      <c:pt idx="20">
                        <c:v>1.7492780000000001</c:v>
                      </c:pt>
                      <c:pt idx="21">
                        <c:v>1.748848</c:v>
                      </c:pt>
                      <c:pt idx="22">
                        <c:v>1.7485250000000001</c:v>
                      </c:pt>
                      <c:pt idx="23">
                        <c:v>1.748283</c:v>
                      </c:pt>
                      <c:pt idx="24">
                        <c:v>1.7481009999999999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Wykresy!$Q$4:$Q$102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1.2703930000000001</c:v>
                      </c:pt>
                      <c:pt idx="2">
                        <c:v>0.72585200000000005</c:v>
                      </c:pt>
                      <c:pt idx="3">
                        <c:v>0.31962400000000002</c:v>
                      </c:pt>
                      <c:pt idx="4">
                        <c:v>1.6685999999999999E-2</c:v>
                      </c:pt>
                      <c:pt idx="5">
                        <c:v>-0.209174</c:v>
                      </c:pt>
                      <c:pt idx="6">
                        <c:v>-0.377558</c:v>
                      </c:pt>
                      <c:pt idx="7">
                        <c:v>-0.50311099999999997</c:v>
                      </c:pt>
                      <c:pt idx="8">
                        <c:v>-0.59675599999999995</c:v>
                      </c:pt>
                      <c:pt idx="9">
                        <c:v>-0.66663499999999998</c:v>
                      </c:pt>
                      <c:pt idx="10">
                        <c:v>-0.71880900000000003</c:v>
                      </c:pt>
                      <c:pt idx="11">
                        <c:v>-0.75778900000000005</c:v>
                      </c:pt>
                      <c:pt idx="12">
                        <c:v>-0.78692899999999999</c:v>
                      </c:pt>
                      <c:pt idx="13">
                        <c:v>-0.80872599999999994</c:v>
                      </c:pt>
                      <c:pt idx="14">
                        <c:v>-0.82503800000000005</c:v>
                      </c:pt>
                      <c:pt idx="15">
                        <c:v>-0.837252</c:v>
                      </c:pt>
                      <c:pt idx="16">
                        <c:v>-0.84639900000000001</c:v>
                      </c:pt>
                      <c:pt idx="17">
                        <c:v>-0.85325300000000004</c:v>
                      </c:pt>
                      <c:pt idx="18">
                        <c:v>-0.85838899999999996</c:v>
                      </c:pt>
                      <c:pt idx="19">
                        <c:v>-0.86223899999999998</c:v>
                      </c:pt>
                      <c:pt idx="20">
                        <c:v>-0.86512500000000003</c:v>
                      </c:pt>
                      <c:pt idx="21">
                        <c:v>-0.86728899999999998</c:v>
                      </c:pt>
                      <c:pt idx="22">
                        <c:v>-0.86891099999999999</c:v>
                      </c:pt>
                      <c:pt idx="23">
                        <c:v>-0.87012800000000001</c:v>
                      </c:pt>
                      <c:pt idx="24">
                        <c:v>-0.87104000000000004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7-1ACD-40FF-925E-46AA4C981AE5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Wykresy!$L$4:$L$63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0.977321</c:v>
                      </c:pt>
                      <c:pt idx="3">
                        <c:v>0.52965099999999998</c:v>
                      </c:pt>
                      <c:pt idx="4">
                        <c:v>1.9008000000000001E-2</c:v>
                      </c:pt>
                      <c:pt idx="5">
                        <c:v>1.4038999999999999E-2</c:v>
                      </c:pt>
                      <c:pt idx="6">
                        <c:v>6.4796000000000006E-2</c:v>
                      </c:pt>
                      <c:pt idx="7">
                        <c:v>9.1360999999999998E-2</c:v>
                      </c:pt>
                      <c:pt idx="8">
                        <c:v>9.0559000000000001E-2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Wykresy!$M$4:$M$63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0.98624999999999996</c:v>
                      </c:pt>
                      <c:pt idx="3">
                        <c:v>0.10700999999999999</c:v>
                      </c:pt>
                      <c:pt idx="4">
                        <c:v>-0.64854800000000001</c:v>
                      </c:pt>
                      <c:pt idx="5">
                        <c:v>-0.61298200000000003</c:v>
                      </c:pt>
                      <c:pt idx="6">
                        <c:v>-0.45864100000000002</c:v>
                      </c:pt>
                      <c:pt idx="7">
                        <c:v>-0.353709</c:v>
                      </c:pt>
                      <c:pt idx="8">
                        <c:v>-0.29216300000000001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F-1ACD-40FF-925E-46AA4C981AE5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Wykresy!$R$4:$R$102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1.983752</c:v>
                      </c:pt>
                      <c:pt idx="2">
                        <c:v>1.968259</c:v>
                      </c:pt>
                      <c:pt idx="3">
                        <c:v>1.9535070000000001</c:v>
                      </c:pt>
                      <c:pt idx="4">
                        <c:v>1.939481</c:v>
                      </c:pt>
                      <c:pt idx="5">
                        <c:v>1.926167</c:v>
                      </c:pt>
                      <c:pt idx="6">
                        <c:v>1.913548</c:v>
                      </c:pt>
                      <c:pt idx="7">
                        <c:v>1.901608</c:v>
                      </c:pt>
                      <c:pt idx="8">
                        <c:v>1.8903300000000001</c:v>
                      </c:pt>
                      <c:pt idx="9">
                        <c:v>1.879696</c:v>
                      </c:pt>
                      <c:pt idx="10">
                        <c:v>1.8696870000000001</c:v>
                      </c:pt>
                      <c:pt idx="11">
                        <c:v>1.860282</c:v>
                      </c:pt>
                      <c:pt idx="12">
                        <c:v>1.8514630000000001</c:v>
                      </c:pt>
                      <c:pt idx="13">
                        <c:v>1.843208</c:v>
                      </c:pt>
                      <c:pt idx="14">
                        <c:v>1.8354950000000001</c:v>
                      </c:pt>
                      <c:pt idx="15">
                        <c:v>1.828303</c:v>
                      </c:pt>
                      <c:pt idx="16">
                        <c:v>1.821607</c:v>
                      </c:pt>
                      <c:pt idx="17">
                        <c:v>1.8153859999999999</c:v>
                      </c:pt>
                      <c:pt idx="18">
                        <c:v>1.809617</c:v>
                      </c:pt>
                      <c:pt idx="19">
                        <c:v>1.804276</c:v>
                      </c:pt>
                      <c:pt idx="20">
                        <c:v>1.7993399999999999</c:v>
                      </c:pt>
                      <c:pt idx="21">
                        <c:v>1.7947850000000001</c:v>
                      </c:pt>
                      <c:pt idx="22">
                        <c:v>1.7905899999999999</c:v>
                      </c:pt>
                      <c:pt idx="23">
                        <c:v>1.786732</c:v>
                      </c:pt>
                      <c:pt idx="24">
                        <c:v>1.7831900000000001</c:v>
                      </c:pt>
                      <c:pt idx="25">
                        <c:v>1.779941</c:v>
                      </c:pt>
                      <c:pt idx="26">
                        <c:v>1.776966</c:v>
                      </c:pt>
                      <c:pt idx="27">
                        <c:v>1.774246</c:v>
                      </c:pt>
                      <c:pt idx="28">
                        <c:v>1.7717609999999999</c:v>
                      </c:pt>
                      <c:pt idx="29">
                        <c:v>1.7694939999999999</c:v>
                      </c:pt>
                      <c:pt idx="30">
                        <c:v>1.767428</c:v>
                      </c:pt>
                      <c:pt idx="31">
                        <c:v>1.7655479999999999</c:v>
                      </c:pt>
                      <c:pt idx="32">
                        <c:v>1.7638370000000001</c:v>
                      </c:pt>
                      <c:pt idx="33">
                        <c:v>1.7622819999999999</c:v>
                      </c:pt>
                      <c:pt idx="34">
                        <c:v>1.7608699999999999</c:v>
                      </c:pt>
                      <c:pt idx="35">
                        <c:v>1.7595890000000001</c:v>
                      </c:pt>
                      <c:pt idx="36">
                        <c:v>1.758427</c:v>
                      </c:pt>
                      <c:pt idx="37">
                        <c:v>1.7573749999999999</c:v>
                      </c:pt>
                      <c:pt idx="38">
                        <c:v>1.756421</c:v>
                      </c:pt>
                      <c:pt idx="39">
                        <c:v>1.7555590000000001</c:v>
                      </c:pt>
                      <c:pt idx="40">
                        <c:v>1.7547779999999999</c:v>
                      </c:pt>
                      <c:pt idx="41">
                        <c:v>1.7540720000000001</c:v>
                      </c:pt>
                      <c:pt idx="42">
                        <c:v>1.7534339999999999</c:v>
                      </c:pt>
                      <c:pt idx="43">
                        <c:v>1.7528570000000001</c:v>
                      </c:pt>
                      <c:pt idx="44">
                        <c:v>1.7523359999999999</c:v>
                      </c:pt>
                      <c:pt idx="45">
                        <c:v>1.7518659999999999</c:v>
                      </c:pt>
                      <c:pt idx="46">
                        <c:v>1.751441</c:v>
                      </c:pt>
                      <c:pt idx="47">
                        <c:v>1.751058</c:v>
                      </c:pt>
                      <c:pt idx="48">
                        <c:v>1.750712</c:v>
                      </c:pt>
                      <c:pt idx="49">
                        <c:v>1.7504</c:v>
                      </c:pt>
                      <c:pt idx="50">
                        <c:v>1.7501180000000001</c:v>
                      </c:pt>
                      <c:pt idx="51">
                        <c:v>1.749865</c:v>
                      </c:pt>
                      <c:pt idx="52">
                        <c:v>1.749636</c:v>
                      </c:pt>
                      <c:pt idx="53">
                        <c:v>1.7494289999999999</c:v>
                      </c:pt>
                      <c:pt idx="54">
                        <c:v>1.7492430000000001</c:v>
                      </c:pt>
                      <c:pt idx="55">
                        <c:v>1.7490760000000001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Wykresy!$S$4:$S$102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1.709344</c:v>
                      </c:pt>
                      <c:pt idx="2">
                        <c:v>1.4480660000000001</c:v>
                      </c:pt>
                      <c:pt idx="3">
                        <c:v>1.213212</c:v>
                      </c:pt>
                      <c:pt idx="4">
                        <c:v>1.0021180000000001</c:v>
                      </c:pt>
                      <c:pt idx="5">
                        <c:v>0.81239099999999997</c:v>
                      </c:pt>
                      <c:pt idx="6">
                        <c:v>0.64187499999999997</c:v>
                      </c:pt>
                      <c:pt idx="7">
                        <c:v>0.48863000000000001</c:v>
                      </c:pt>
                      <c:pt idx="8">
                        <c:v>0.35091099999999997</c:v>
                      </c:pt>
                      <c:pt idx="9">
                        <c:v>0.22714699999999999</c:v>
                      </c:pt>
                      <c:pt idx="10">
                        <c:v>0.115927</c:v>
                      </c:pt>
                      <c:pt idx="11">
                        <c:v>1.5979E-2</c:v>
                      </c:pt>
                      <c:pt idx="12">
                        <c:v>-7.3839000000000002E-2</c:v>
                      </c:pt>
                      <c:pt idx="13">
                        <c:v>-0.154554</c:v>
                      </c:pt>
                      <c:pt idx="14">
                        <c:v>-0.22709099999999999</c:v>
                      </c:pt>
                      <c:pt idx="15">
                        <c:v>-0.29227999999999998</c:v>
                      </c:pt>
                      <c:pt idx="16">
                        <c:v>-0.35086600000000001</c:v>
                      </c:pt>
                      <c:pt idx="17">
                        <c:v>-0.40352199999999999</c:v>
                      </c:pt>
                      <c:pt idx="18">
                        <c:v>-0.450849</c:v>
                      </c:pt>
                      <c:pt idx="19">
                        <c:v>-0.49339</c:v>
                      </c:pt>
                      <c:pt idx="20">
                        <c:v>-0.53163099999999996</c:v>
                      </c:pt>
                      <c:pt idx="21">
                        <c:v>-0.56600799999999996</c:v>
                      </c:pt>
                      <c:pt idx="22">
                        <c:v>-0.59691399999999994</c:v>
                      </c:pt>
                      <c:pt idx="23">
                        <c:v>-0.62470199999999998</c:v>
                      </c:pt>
                      <c:pt idx="24">
                        <c:v>-0.64968800000000004</c:v>
                      </c:pt>
                      <c:pt idx="25">
                        <c:v>-0.67215599999999998</c:v>
                      </c:pt>
                      <c:pt idx="26">
                        <c:v>-0.692361</c:v>
                      </c:pt>
                      <c:pt idx="27">
                        <c:v>-0.710534</c:v>
                      </c:pt>
                      <c:pt idx="28">
                        <c:v>-0.72687800000000002</c:v>
                      </c:pt>
                      <c:pt idx="29">
                        <c:v>-0.74158100000000005</c:v>
                      </c:pt>
                      <c:pt idx="30">
                        <c:v>-0.75480599999999998</c:v>
                      </c:pt>
                      <c:pt idx="31">
                        <c:v>-0.76670400000000005</c:v>
                      </c:pt>
                      <c:pt idx="32">
                        <c:v>-0.77740799999999999</c:v>
                      </c:pt>
                      <c:pt idx="33">
                        <c:v>-0.78703900000000004</c:v>
                      </c:pt>
                      <c:pt idx="34">
                        <c:v>-0.795705</c:v>
                      </c:pt>
                      <c:pt idx="35">
                        <c:v>-0.80350299999999997</c:v>
                      </c:pt>
                      <c:pt idx="36">
                        <c:v>-0.81052100000000005</c:v>
                      </c:pt>
                      <c:pt idx="37">
                        <c:v>-0.81683600000000001</c:v>
                      </c:pt>
                      <c:pt idx="38">
                        <c:v>-0.822519</c:v>
                      </c:pt>
                      <c:pt idx="39">
                        <c:v>-0.82763399999999998</c:v>
                      </c:pt>
                      <c:pt idx="40">
                        <c:v>-0.83223800000000003</c:v>
                      </c:pt>
                      <c:pt idx="41">
                        <c:v>-0.83638199999999996</c:v>
                      </c:pt>
                      <c:pt idx="42">
                        <c:v>-0.84011199999999997</c:v>
                      </c:pt>
                      <c:pt idx="43">
                        <c:v>-0.84346900000000002</c:v>
                      </c:pt>
                      <c:pt idx="44">
                        <c:v>-0.84649099999999999</c:v>
                      </c:pt>
                      <c:pt idx="45">
                        <c:v>-0.84921100000000005</c:v>
                      </c:pt>
                      <c:pt idx="46">
                        <c:v>-0.85165999999999997</c:v>
                      </c:pt>
                      <c:pt idx="47">
                        <c:v>-0.85386499999999999</c:v>
                      </c:pt>
                      <c:pt idx="48">
                        <c:v>-0.85585</c:v>
                      </c:pt>
                      <c:pt idx="49">
                        <c:v>-0.85763599999999995</c:v>
                      </c:pt>
                      <c:pt idx="50">
                        <c:v>-0.85924500000000004</c:v>
                      </c:pt>
                      <c:pt idx="51">
                        <c:v>-0.86069300000000004</c:v>
                      </c:pt>
                      <c:pt idx="52">
                        <c:v>-0.86199700000000001</c:v>
                      </c:pt>
                      <c:pt idx="53">
                        <c:v>-0.86316999999999999</c:v>
                      </c:pt>
                      <c:pt idx="54">
                        <c:v>-0.86422699999999997</c:v>
                      </c:pt>
                      <c:pt idx="55">
                        <c:v>-0.86517900000000003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1-1ACD-40FF-925E-46AA4C981AE5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CG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4"/>
          <c:order val="1"/>
          <c:tx>
            <c:v>CG 0.05</c:v>
          </c:tx>
          <c:xVal>
            <c:numRef>
              <c:f>Wykresy!$H$4:$H$63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1.410561</c:v>
                </c:pt>
                <c:pt idx="3">
                  <c:v>1.2546809999999999</c:v>
                </c:pt>
                <c:pt idx="4">
                  <c:v>1.124342</c:v>
                </c:pt>
                <c:pt idx="5">
                  <c:v>1.0117670000000001</c:v>
                </c:pt>
                <c:pt idx="6">
                  <c:v>0.90291600000000005</c:v>
                </c:pt>
                <c:pt idx="7">
                  <c:v>0.78082799999999997</c:v>
                </c:pt>
                <c:pt idx="8">
                  <c:v>0.62366299999999997</c:v>
                </c:pt>
                <c:pt idx="9">
                  <c:v>0.41953400000000002</c:v>
                </c:pt>
                <c:pt idx="10">
                  <c:v>0.20857700000000001</c:v>
                </c:pt>
                <c:pt idx="11">
                  <c:v>-1.6990999999999999E-2</c:v>
                </c:pt>
                <c:pt idx="12">
                  <c:v>-0.45032299999999997</c:v>
                </c:pt>
                <c:pt idx="13">
                  <c:v>-1.728939</c:v>
                </c:pt>
                <c:pt idx="14">
                  <c:v>-3.414193</c:v>
                </c:pt>
              </c:numCache>
              <c:extLst xmlns:c15="http://schemas.microsoft.com/office/drawing/2012/chart"/>
            </c:numRef>
          </c:xVal>
          <c:yVal>
            <c:numRef>
              <c:f>Wykresy!$I$4:$I$63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1.3764179999999999</c:v>
                </c:pt>
                <c:pt idx="3">
                  <c:v>0.94840500000000005</c:v>
                </c:pt>
                <c:pt idx="4">
                  <c:v>0.54014600000000002</c:v>
                </c:pt>
                <c:pt idx="5">
                  <c:v>0.21272199999999999</c:v>
                </c:pt>
                <c:pt idx="6">
                  <c:v>-3.4669999999999999E-2</c:v>
                </c:pt>
                <c:pt idx="7">
                  <c:v>-0.23047500000000001</c:v>
                </c:pt>
                <c:pt idx="8">
                  <c:v>-0.40361799999999998</c:v>
                </c:pt>
                <c:pt idx="9">
                  <c:v>-0.55506100000000003</c:v>
                </c:pt>
                <c:pt idx="10">
                  <c:v>-0.64640299999999995</c:v>
                </c:pt>
                <c:pt idx="11">
                  <c:v>-0.686608</c:v>
                </c:pt>
                <c:pt idx="12">
                  <c:v>-0.70106000000000002</c:v>
                </c:pt>
                <c:pt idx="13">
                  <c:v>-0.65464299999999997</c:v>
                </c:pt>
                <c:pt idx="14">
                  <c:v>-0.43917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3-A111-4F38-89AB-A53AC365B455}"/>
            </c:ext>
          </c:extLst>
        </c:ser>
        <c:ser>
          <c:idx val="7"/>
          <c:order val="4"/>
          <c:tx>
            <c:v>CG 0.25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xVal>
            <c:numRef>
              <c:f>Wykresy!$J$4:$J$63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-0.14222399999999999</c:v>
                </c:pt>
                <c:pt idx="3">
                  <c:v>-8.0907999999999994E-2</c:v>
                </c:pt>
                <c:pt idx="4">
                  <c:v>-8.9560000000000004E-3</c:v>
                </c:pt>
                <c:pt idx="5">
                  <c:v>-4.2789999999999998E-3</c:v>
                </c:pt>
                <c:pt idx="6">
                  <c:v>-2.0709999999999999E-3</c:v>
                </c:pt>
                <c:pt idx="7">
                  <c:v>-8.0800000000000002E-4</c:v>
                </c:pt>
                <c:pt idx="8">
                  <c:v>-2.22E-4</c:v>
                </c:pt>
              </c:numCache>
              <c:extLst xmlns:c15="http://schemas.microsoft.com/office/drawing/2012/chart"/>
            </c:numRef>
          </c:xVal>
          <c:yVal>
            <c:numRef>
              <c:f>Wykresy!$K$4:$K$63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0.26344499999999998</c:v>
                </c:pt>
                <c:pt idx="3">
                  <c:v>9.9824999999999997E-2</c:v>
                </c:pt>
                <c:pt idx="4">
                  <c:v>2.5961000000000001E-2</c:v>
                </c:pt>
                <c:pt idx="5">
                  <c:v>1.2947999999999999E-2</c:v>
                </c:pt>
                <c:pt idx="6">
                  <c:v>4.2979999999999997E-3</c:v>
                </c:pt>
                <c:pt idx="7">
                  <c:v>1.6230000000000001E-3</c:v>
                </c:pt>
                <c:pt idx="8">
                  <c:v>6.2299999999999996E-4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5-A111-4F38-89AB-A53AC365B455}"/>
            </c:ext>
          </c:extLst>
        </c:ser>
        <c:ser>
          <c:idx val="1"/>
          <c:order val="7"/>
          <c:tx>
            <c:v>CG zmienny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Wykresy!$L$4:$L$63</c:f>
              <c:numCache>
                <c:formatCode>General</c:formatCode>
                <c:ptCount val="60"/>
                <c:pt idx="0">
                  <c:v>2</c:v>
                </c:pt>
                <c:pt idx="1">
                  <c:v>1.1634150000000001</c:v>
                </c:pt>
                <c:pt idx="2">
                  <c:v>0.977321</c:v>
                </c:pt>
                <c:pt idx="3">
                  <c:v>0.52965099999999998</c:v>
                </c:pt>
                <c:pt idx="4">
                  <c:v>1.9008000000000001E-2</c:v>
                </c:pt>
                <c:pt idx="5">
                  <c:v>1.4038999999999999E-2</c:v>
                </c:pt>
                <c:pt idx="6">
                  <c:v>6.4796000000000006E-2</c:v>
                </c:pt>
                <c:pt idx="7">
                  <c:v>9.1360999999999998E-2</c:v>
                </c:pt>
                <c:pt idx="8">
                  <c:v>9.0559000000000001E-2</c:v>
                </c:pt>
              </c:numCache>
              <c:extLst xmlns:c15="http://schemas.microsoft.com/office/drawing/2012/chart"/>
            </c:numRef>
          </c:xVal>
          <c:yVal>
            <c:numRef>
              <c:f>Wykresy!$M$4:$M$63</c:f>
              <c:numCache>
                <c:formatCode>General</c:formatCode>
                <c:ptCount val="60"/>
                <c:pt idx="0">
                  <c:v>2</c:v>
                </c:pt>
                <c:pt idx="1">
                  <c:v>1.402439</c:v>
                </c:pt>
                <c:pt idx="2">
                  <c:v>0.98624999999999996</c:v>
                </c:pt>
                <c:pt idx="3">
                  <c:v>0.10700999999999999</c:v>
                </c:pt>
                <c:pt idx="4">
                  <c:v>-0.64854800000000001</c:v>
                </c:pt>
                <c:pt idx="5">
                  <c:v>-0.61298200000000003</c:v>
                </c:pt>
                <c:pt idx="6">
                  <c:v>-0.45864100000000002</c:v>
                </c:pt>
                <c:pt idx="7">
                  <c:v>-0.353709</c:v>
                </c:pt>
                <c:pt idx="8">
                  <c:v>-0.29216300000000001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7-A111-4F38-89AB-A53AC365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SD 0.05</c:v>
                </c:tx>
                <c:xVal>
                  <c:numRef>
                    <c:extLst>
                      <c:ext uri="{02D57815-91ED-43cb-92C2-25804820EDAC}">
                        <c15:formulaRef>
                          <c15:sqref>Wykresy!$B$4:$B$63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1.5149760000000001</c:v>
                      </c:pt>
                      <c:pt idx="3">
                        <c:v>1.470599</c:v>
                      </c:pt>
                      <c:pt idx="4">
                        <c:v>1.43895</c:v>
                      </c:pt>
                      <c:pt idx="5">
                        <c:v>1.416706</c:v>
                      </c:pt>
                      <c:pt idx="6">
                        <c:v>1.4022209999999999</c:v>
                      </c:pt>
                      <c:pt idx="7">
                        <c:v>1.39463</c:v>
                      </c:pt>
                      <c:pt idx="8">
                        <c:v>1.3934770000000001</c:v>
                      </c:pt>
                      <c:pt idx="9">
                        <c:v>1.3985240000000001</c:v>
                      </c:pt>
                      <c:pt idx="10">
                        <c:v>1.4096280000000001</c:v>
                      </c:pt>
                      <c:pt idx="11">
                        <c:v>1.4266209999999999</c:v>
                      </c:pt>
                      <c:pt idx="12">
                        <c:v>1.4491860000000001</c:v>
                      </c:pt>
                      <c:pt idx="13">
                        <c:v>1.476718</c:v>
                      </c:pt>
                      <c:pt idx="14">
                        <c:v>1.5081739999999999</c:v>
                      </c:pt>
                      <c:pt idx="15">
                        <c:v>1.5419830000000001</c:v>
                      </c:pt>
                      <c:pt idx="16">
                        <c:v>1.5760879999999999</c:v>
                      </c:pt>
                      <c:pt idx="17">
                        <c:v>1.6082259999999999</c:v>
                      </c:pt>
                      <c:pt idx="18">
                        <c:v>1.6364179999999999</c:v>
                      </c:pt>
                      <c:pt idx="19">
                        <c:v>1.6594850000000001</c:v>
                      </c:pt>
                      <c:pt idx="20">
                        <c:v>1.6772769999999999</c:v>
                      </c:pt>
                      <c:pt idx="21">
                        <c:v>1.6904699999999999</c:v>
                      </c:pt>
                      <c:pt idx="22">
                        <c:v>1.7001189999999999</c:v>
                      </c:pt>
                      <c:pt idx="23">
                        <c:v>1.7072579999999999</c:v>
                      </c:pt>
                      <c:pt idx="24">
                        <c:v>1.712699</c:v>
                      </c:pt>
                      <c:pt idx="25">
                        <c:v>1.7170019999999999</c:v>
                      </c:pt>
                      <c:pt idx="26">
                        <c:v>1.720529</c:v>
                      </c:pt>
                      <c:pt idx="27">
                        <c:v>1.7235050000000001</c:v>
                      </c:pt>
                      <c:pt idx="28">
                        <c:v>1.7260679999999999</c:v>
                      </c:pt>
                      <c:pt idx="29">
                        <c:v>1.728307</c:v>
                      </c:pt>
                      <c:pt idx="30">
                        <c:v>1.7302820000000001</c:v>
                      </c:pt>
                      <c:pt idx="31">
                        <c:v>1.7320340000000001</c:v>
                      </c:pt>
                      <c:pt idx="32">
                        <c:v>1.7335940000000001</c:v>
                      </c:pt>
                      <c:pt idx="33">
                        <c:v>1.734988</c:v>
                      </c:pt>
                      <c:pt idx="34">
                        <c:v>1.7362359999999999</c:v>
                      </c:pt>
                      <c:pt idx="35">
                        <c:v>1.7373540000000001</c:v>
                      </c:pt>
                      <c:pt idx="36">
                        <c:v>1.7383580000000001</c:v>
                      </c:pt>
                      <c:pt idx="37">
                        <c:v>1.7392590000000001</c:v>
                      </c:pt>
                      <c:pt idx="38">
                        <c:v>1.74007</c:v>
                      </c:pt>
                      <c:pt idx="39">
                        <c:v>1.740799</c:v>
                      </c:pt>
                      <c:pt idx="40">
                        <c:v>1.7414559999999999</c:v>
                      </c:pt>
                      <c:pt idx="41">
                        <c:v>1.7420469999999999</c:v>
                      </c:pt>
                      <c:pt idx="42">
                        <c:v>1.74258</c:v>
                      </c:pt>
                      <c:pt idx="43">
                        <c:v>1.743061</c:v>
                      </c:pt>
                      <c:pt idx="44">
                        <c:v>1.7434940000000001</c:v>
                      </c:pt>
                      <c:pt idx="45">
                        <c:v>1.7438849999999999</c:v>
                      </c:pt>
                      <c:pt idx="46">
                        <c:v>1.744238</c:v>
                      </c:pt>
                      <c:pt idx="47">
                        <c:v>1.7445569999999999</c:v>
                      </c:pt>
                      <c:pt idx="48">
                        <c:v>1.7448440000000001</c:v>
                      </c:pt>
                      <c:pt idx="49">
                        <c:v>1.745104</c:v>
                      </c:pt>
                      <c:pt idx="50">
                        <c:v>1.745339</c:v>
                      </c:pt>
                      <c:pt idx="51">
                        <c:v>1.7455510000000001</c:v>
                      </c:pt>
                      <c:pt idx="52">
                        <c:v>1.7457419999999999</c:v>
                      </c:pt>
                      <c:pt idx="53">
                        <c:v>1.745916</c:v>
                      </c:pt>
                      <c:pt idx="54">
                        <c:v>1.7460720000000001</c:v>
                      </c:pt>
                      <c:pt idx="55">
                        <c:v>1.7462139999999999</c:v>
                      </c:pt>
                      <c:pt idx="56">
                        <c:v>1.7463409999999999</c:v>
                      </c:pt>
                      <c:pt idx="57">
                        <c:v>1.7464569999999999</c:v>
                      </c:pt>
                      <c:pt idx="58">
                        <c:v>1.7465619999999999</c:v>
                      </c:pt>
                      <c:pt idx="59">
                        <c:v>1.746656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Wykresy!$C$4:$C$63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1.4510000000000001</c:v>
                      </c:pt>
                      <c:pt idx="3">
                        <c:v>1.230151</c:v>
                      </c:pt>
                      <c:pt idx="4">
                        <c:v>1.033606</c:v>
                      </c:pt>
                      <c:pt idx="5">
                        <c:v>0.85829800000000001</c:v>
                      </c:pt>
                      <c:pt idx="6">
                        <c:v>0.70163299999999995</c:v>
                      </c:pt>
                      <c:pt idx="7">
                        <c:v>0.56135900000000005</c:v>
                      </c:pt>
                      <c:pt idx="8">
                        <c:v>0.43549100000000002</c:v>
                      </c:pt>
                      <c:pt idx="9">
                        <c:v>0.322268</c:v>
                      </c:pt>
                      <c:pt idx="10">
                        <c:v>0.22011500000000001</c:v>
                      </c:pt>
                      <c:pt idx="11">
                        <c:v>0.12762200000000001</c:v>
                      </c:pt>
                      <c:pt idx="12">
                        <c:v>4.3528999999999998E-2</c:v>
                      </c:pt>
                      <c:pt idx="13">
                        <c:v>-3.3283E-2</c:v>
                      </c:pt>
                      <c:pt idx="14">
                        <c:v>-0.10379099999999999</c:v>
                      </c:pt>
                      <c:pt idx="15">
                        <c:v>-0.16882</c:v>
                      </c:pt>
                      <c:pt idx="16">
                        <c:v>-0.22903699999999999</c:v>
                      </c:pt>
                      <c:pt idx="17">
                        <c:v>-0.28493800000000002</c:v>
                      </c:pt>
                      <c:pt idx="18">
                        <c:v>-0.33685599999999999</c:v>
                      </c:pt>
                      <c:pt idx="19">
                        <c:v>-0.38499100000000003</c:v>
                      </c:pt>
                      <c:pt idx="20">
                        <c:v>-0.42946600000000001</c:v>
                      </c:pt>
                      <c:pt idx="21">
                        <c:v>-0.470383</c:v>
                      </c:pt>
                      <c:pt idx="22">
                        <c:v>-0.50786900000000001</c:v>
                      </c:pt>
                      <c:pt idx="23">
                        <c:v>-0.54208800000000001</c:v>
                      </c:pt>
                      <c:pt idx="24">
                        <c:v>-0.57324200000000003</c:v>
                      </c:pt>
                      <c:pt idx="25">
                        <c:v>-0.601553</c:v>
                      </c:pt>
                      <c:pt idx="26">
                        <c:v>-0.627247</c:v>
                      </c:pt>
                      <c:pt idx="27">
                        <c:v>-0.65054900000000004</c:v>
                      </c:pt>
                      <c:pt idx="28">
                        <c:v>-0.67166899999999996</c:v>
                      </c:pt>
                      <c:pt idx="29">
                        <c:v>-0.69080600000000003</c:v>
                      </c:pt>
                      <c:pt idx="30">
                        <c:v>-0.70814100000000002</c:v>
                      </c:pt>
                      <c:pt idx="31">
                        <c:v>-0.72384099999999996</c:v>
                      </c:pt>
                      <c:pt idx="32">
                        <c:v>-0.73805799999999999</c:v>
                      </c:pt>
                      <c:pt idx="33">
                        <c:v>-0.75093200000000004</c:v>
                      </c:pt>
                      <c:pt idx="34">
                        <c:v>-0.76258800000000004</c:v>
                      </c:pt>
                      <c:pt idx="35">
                        <c:v>-0.77314099999999997</c:v>
                      </c:pt>
                      <c:pt idx="36">
                        <c:v>-0.78269500000000003</c:v>
                      </c:pt>
                      <c:pt idx="37">
                        <c:v>-0.79134300000000002</c:v>
                      </c:pt>
                      <c:pt idx="38">
                        <c:v>-0.79917199999999999</c:v>
                      </c:pt>
                      <c:pt idx="39">
                        <c:v>-0.80625800000000003</c:v>
                      </c:pt>
                      <c:pt idx="40">
                        <c:v>-0.81267199999999995</c:v>
                      </c:pt>
                      <c:pt idx="41">
                        <c:v>-0.81847800000000004</c:v>
                      </c:pt>
                      <c:pt idx="42">
                        <c:v>-0.82373200000000002</c:v>
                      </c:pt>
                      <c:pt idx="43">
                        <c:v>-0.828488</c:v>
                      </c:pt>
                      <c:pt idx="44">
                        <c:v>-0.83279199999999998</c:v>
                      </c:pt>
                      <c:pt idx="45">
                        <c:v>-0.83668799999999999</c:v>
                      </c:pt>
                      <c:pt idx="46">
                        <c:v>-0.84021299999999999</c:v>
                      </c:pt>
                      <c:pt idx="47">
                        <c:v>-0.84340400000000004</c:v>
                      </c:pt>
                      <c:pt idx="48">
                        <c:v>-0.84629100000000002</c:v>
                      </c:pt>
                      <c:pt idx="49">
                        <c:v>-0.84890399999999999</c:v>
                      </c:pt>
                      <c:pt idx="50">
                        <c:v>-0.85126900000000005</c:v>
                      </c:pt>
                      <c:pt idx="51">
                        <c:v>-0.85340899999999997</c:v>
                      </c:pt>
                      <c:pt idx="52">
                        <c:v>-0.85534600000000005</c:v>
                      </c:pt>
                      <c:pt idx="53">
                        <c:v>-0.85709800000000003</c:v>
                      </c:pt>
                      <c:pt idx="54">
                        <c:v>-0.858684</c:v>
                      </c:pt>
                      <c:pt idx="55">
                        <c:v>-0.86012</c:v>
                      </c:pt>
                      <c:pt idx="56">
                        <c:v>-0.86141800000000002</c:v>
                      </c:pt>
                      <c:pt idx="57">
                        <c:v>-0.86259300000000005</c:v>
                      </c:pt>
                      <c:pt idx="58">
                        <c:v>-0.86365700000000001</c:v>
                      </c:pt>
                      <c:pt idx="59">
                        <c:v>-0.86461900000000003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111-4F38-89AB-A53AC365B45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Newton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Wykresy!$N$4:$N$102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1.991843</c:v>
                      </c:pt>
                      <c:pt idx="2">
                        <c:v>1.9838750000000001</c:v>
                      </c:pt>
                      <c:pt idx="3">
                        <c:v>1.976094</c:v>
                      </c:pt>
                      <c:pt idx="4">
                        <c:v>1.9684980000000001</c:v>
                      </c:pt>
                      <c:pt idx="5">
                        <c:v>1.9610860000000001</c:v>
                      </c:pt>
                      <c:pt idx="6">
                        <c:v>1.953856</c:v>
                      </c:pt>
                      <c:pt idx="7">
                        <c:v>1.9468049999999999</c:v>
                      </c:pt>
                      <c:pt idx="8">
                        <c:v>1.9399329999999999</c:v>
                      </c:pt>
                      <c:pt idx="9">
                        <c:v>1.9332370000000001</c:v>
                      </c:pt>
                      <c:pt idx="10">
                        <c:v>1.926715</c:v>
                      </c:pt>
                      <c:pt idx="11">
                        <c:v>1.920366</c:v>
                      </c:pt>
                      <c:pt idx="12">
                        <c:v>1.9141859999999999</c:v>
                      </c:pt>
                      <c:pt idx="13">
                        <c:v>1.908174</c:v>
                      </c:pt>
                      <c:pt idx="14">
                        <c:v>1.902328</c:v>
                      </c:pt>
                      <c:pt idx="15">
                        <c:v>1.8966460000000001</c:v>
                      </c:pt>
                      <c:pt idx="16">
                        <c:v>1.8911249999999999</c:v>
                      </c:pt>
                      <c:pt idx="17">
                        <c:v>1.8857630000000001</c:v>
                      </c:pt>
                      <c:pt idx="18">
                        <c:v>1.880558</c:v>
                      </c:pt>
                      <c:pt idx="19">
                        <c:v>1.875507</c:v>
                      </c:pt>
                      <c:pt idx="20">
                        <c:v>1.870608</c:v>
                      </c:pt>
                      <c:pt idx="21">
                        <c:v>1.865858</c:v>
                      </c:pt>
                      <c:pt idx="22">
                        <c:v>1.861256</c:v>
                      </c:pt>
                      <c:pt idx="23">
                        <c:v>1.856797</c:v>
                      </c:pt>
                      <c:pt idx="24">
                        <c:v>1.852481</c:v>
                      </c:pt>
                      <c:pt idx="25">
                        <c:v>1.848303</c:v>
                      </c:pt>
                      <c:pt idx="26">
                        <c:v>1.8442620000000001</c:v>
                      </c:pt>
                      <c:pt idx="27">
                        <c:v>1.840355</c:v>
                      </c:pt>
                      <c:pt idx="28">
                        <c:v>1.836578</c:v>
                      </c:pt>
                      <c:pt idx="29">
                        <c:v>1.8329299999999999</c:v>
                      </c:pt>
                      <c:pt idx="30">
                        <c:v>1.8294079999999999</c:v>
                      </c:pt>
                      <c:pt idx="31">
                        <c:v>1.8260080000000001</c:v>
                      </c:pt>
                      <c:pt idx="32">
                        <c:v>1.822727</c:v>
                      </c:pt>
                      <c:pt idx="33">
                        <c:v>1.819564</c:v>
                      </c:pt>
                      <c:pt idx="34">
                        <c:v>1.8165150000000001</c:v>
                      </c:pt>
                      <c:pt idx="35">
                        <c:v>1.813577</c:v>
                      </c:pt>
                      <c:pt idx="36">
                        <c:v>1.8107470000000001</c:v>
                      </c:pt>
                      <c:pt idx="37">
                        <c:v>1.8080229999999999</c:v>
                      </c:pt>
                      <c:pt idx="38">
                        <c:v>1.805402</c:v>
                      </c:pt>
                      <c:pt idx="39">
                        <c:v>1.80288</c:v>
                      </c:pt>
                      <c:pt idx="40">
                        <c:v>1.8004560000000001</c:v>
                      </c:pt>
                      <c:pt idx="41">
                        <c:v>1.7981259999999999</c:v>
                      </c:pt>
                      <c:pt idx="42">
                        <c:v>1.795887</c:v>
                      </c:pt>
                      <c:pt idx="43">
                        <c:v>1.7937369999999999</c:v>
                      </c:pt>
                      <c:pt idx="44">
                        <c:v>1.7916730000000001</c:v>
                      </c:pt>
                      <c:pt idx="45">
                        <c:v>1.7896920000000001</c:v>
                      </c:pt>
                      <c:pt idx="46">
                        <c:v>1.787792</c:v>
                      </c:pt>
                      <c:pt idx="47">
                        <c:v>1.7859700000000001</c:v>
                      </c:pt>
                      <c:pt idx="48">
                        <c:v>1.7842229999999999</c:v>
                      </c:pt>
                      <c:pt idx="49">
                        <c:v>1.7825489999999999</c:v>
                      </c:pt>
                      <c:pt idx="50">
                        <c:v>1.780945</c:v>
                      </c:pt>
                      <c:pt idx="51">
                        <c:v>1.779409</c:v>
                      </c:pt>
                      <c:pt idx="52">
                        <c:v>1.777938</c:v>
                      </c:pt>
                      <c:pt idx="53">
                        <c:v>1.7765299999999999</c:v>
                      </c:pt>
                      <c:pt idx="54">
                        <c:v>1.775183</c:v>
                      </c:pt>
                      <c:pt idx="55">
                        <c:v>1.773895</c:v>
                      </c:pt>
                      <c:pt idx="56">
                        <c:v>1.7726630000000001</c:v>
                      </c:pt>
                      <c:pt idx="57">
                        <c:v>1.771485</c:v>
                      </c:pt>
                      <c:pt idx="58">
                        <c:v>1.770359</c:v>
                      </c:pt>
                      <c:pt idx="59">
                        <c:v>1.7692829999999999</c:v>
                      </c:pt>
                      <c:pt idx="60">
                        <c:v>1.768256</c:v>
                      </c:pt>
                      <c:pt idx="61">
                        <c:v>1.767274</c:v>
                      </c:pt>
                      <c:pt idx="62">
                        <c:v>1.766337</c:v>
                      </c:pt>
                      <c:pt idx="63">
                        <c:v>1.765442</c:v>
                      </c:pt>
                      <c:pt idx="64">
                        <c:v>1.764588</c:v>
                      </c:pt>
                      <c:pt idx="65">
                        <c:v>1.763773</c:v>
                      </c:pt>
                      <c:pt idx="66">
                        <c:v>1.7629950000000001</c:v>
                      </c:pt>
                      <c:pt idx="67">
                        <c:v>1.7622530000000001</c:v>
                      </c:pt>
                      <c:pt idx="68">
                        <c:v>1.7615460000000001</c:v>
                      </c:pt>
                      <c:pt idx="69">
                        <c:v>1.7608710000000001</c:v>
                      </c:pt>
                      <c:pt idx="70">
                        <c:v>1.7602279999999999</c:v>
                      </c:pt>
                      <c:pt idx="71">
                        <c:v>1.7596149999999999</c:v>
                      </c:pt>
                      <c:pt idx="72">
                        <c:v>1.7590300000000001</c:v>
                      </c:pt>
                      <c:pt idx="73">
                        <c:v>1.7584740000000001</c:v>
                      </c:pt>
                      <c:pt idx="74">
                        <c:v>1.757943</c:v>
                      </c:pt>
                      <c:pt idx="75">
                        <c:v>1.7574369999999999</c:v>
                      </c:pt>
                      <c:pt idx="76">
                        <c:v>1.756956</c:v>
                      </c:pt>
                      <c:pt idx="77">
                        <c:v>1.756497</c:v>
                      </c:pt>
                      <c:pt idx="78">
                        <c:v>1.75606</c:v>
                      </c:pt>
                      <c:pt idx="79">
                        <c:v>1.755644</c:v>
                      </c:pt>
                      <c:pt idx="80">
                        <c:v>1.7552479999999999</c:v>
                      </c:pt>
                      <c:pt idx="81">
                        <c:v>1.7548710000000001</c:v>
                      </c:pt>
                      <c:pt idx="82">
                        <c:v>1.7545120000000001</c:v>
                      </c:pt>
                      <c:pt idx="83">
                        <c:v>1.7541709999999999</c:v>
                      </c:pt>
                      <c:pt idx="84">
                        <c:v>1.753846</c:v>
                      </c:pt>
                      <c:pt idx="85">
                        <c:v>1.753536</c:v>
                      </c:pt>
                      <c:pt idx="86">
                        <c:v>1.753242</c:v>
                      </c:pt>
                      <c:pt idx="87">
                        <c:v>1.752961</c:v>
                      </c:pt>
                      <c:pt idx="88">
                        <c:v>1.7526949999999999</c:v>
                      </c:pt>
                      <c:pt idx="89">
                        <c:v>1.7524409999999999</c:v>
                      </c:pt>
                      <c:pt idx="90">
                        <c:v>1.7522</c:v>
                      </c:pt>
                      <c:pt idx="91">
                        <c:v>1.75197</c:v>
                      </c:pt>
                      <c:pt idx="92">
                        <c:v>1.751752</c:v>
                      </c:pt>
                      <c:pt idx="93">
                        <c:v>1.751544</c:v>
                      </c:pt>
                      <c:pt idx="94">
                        <c:v>1.751347</c:v>
                      </c:pt>
                      <c:pt idx="95">
                        <c:v>1.7511589999999999</c:v>
                      </c:pt>
                      <c:pt idx="96">
                        <c:v>1.75098</c:v>
                      </c:pt>
                      <c:pt idx="97">
                        <c:v>1.7508109999999999</c:v>
                      </c:pt>
                      <c:pt idx="98">
                        <c:v>1.7506489999999999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Wykresy!$O$4:$O$102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1.854079</c:v>
                      </c:pt>
                      <c:pt idx="2">
                        <c:v>1.7155629999999999</c:v>
                      </c:pt>
                      <c:pt idx="3">
                        <c:v>1.5840780000000001</c:v>
                      </c:pt>
                      <c:pt idx="4">
                        <c:v>1.4592700000000001</c:v>
                      </c:pt>
                      <c:pt idx="5">
                        <c:v>1.3408</c:v>
                      </c:pt>
                      <c:pt idx="6">
                        <c:v>1.228348</c:v>
                      </c:pt>
                      <c:pt idx="7">
                        <c:v>1.1216090000000001</c:v>
                      </c:pt>
                      <c:pt idx="8">
                        <c:v>1.020295</c:v>
                      </c:pt>
                      <c:pt idx="9">
                        <c:v>0.92413000000000001</c:v>
                      </c:pt>
                      <c:pt idx="10">
                        <c:v>0.83285299999999995</c:v>
                      </c:pt>
                      <c:pt idx="11">
                        <c:v>0.74621700000000002</c:v>
                      </c:pt>
                      <c:pt idx="12">
                        <c:v>0.66398699999999999</c:v>
                      </c:pt>
                      <c:pt idx="13">
                        <c:v>0.58593899999999999</c:v>
                      </c:pt>
                      <c:pt idx="14">
                        <c:v>0.51186100000000001</c:v>
                      </c:pt>
                      <c:pt idx="15">
                        <c:v>0.44155100000000003</c:v>
                      </c:pt>
                      <c:pt idx="16">
                        <c:v>0.37481799999999998</c:v>
                      </c:pt>
                      <c:pt idx="17">
                        <c:v>0.31147900000000001</c:v>
                      </c:pt>
                      <c:pt idx="18">
                        <c:v>0.25136399999999998</c:v>
                      </c:pt>
                      <c:pt idx="19">
                        <c:v>0.19430700000000001</c:v>
                      </c:pt>
                      <c:pt idx="20">
                        <c:v>0.140154</c:v>
                      </c:pt>
                      <c:pt idx="21">
                        <c:v>8.8756000000000002E-2</c:v>
                      </c:pt>
                      <c:pt idx="22">
                        <c:v>3.9973000000000002E-2</c:v>
                      </c:pt>
                      <c:pt idx="23">
                        <c:v>-6.3280000000000003E-3</c:v>
                      </c:pt>
                      <c:pt idx="24">
                        <c:v>-5.0272999999999998E-2</c:v>
                      </c:pt>
                      <c:pt idx="25">
                        <c:v>-9.1982999999999995E-2</c:v>
                      </c:pt>
                      <c:pt idx="26">
                        <c:v>-0.13157099999999999</c:v>
                      </c:pt>
                      <c:pt idx="27">
                        <c:v>-0.16914499999999999</c:v>
                      </c:pt>
                      <c:pt idx="28">
                        <c:v>-0.20480899999999999</c:v>
                      </c:pt>
                      <c:pt idx="29">
                        <c:v>-0.23865900000000001</c:v>
                      </c:pt>
                      <c:pt idx="30">
                        <c:v>-0.27078799999999997</c:v>
                      </c:pt>
                      <c:pt idx="31">
                        <c:v>-0.30128300000000002</c:v>
                      </c:pt>
                      <c:pt idx="32">
                        <c:v>-0.33022899999999999</c:v>
                      </c:pt>
                      <c:pt idx="33">
                        <c:v>-0.35770400000000002</c:v>
                      </c:pt>
                      <c:pt idx="34">
                        <c:v>-0.38378299999999999</c:v>
                      </c:pt>
                      <c:pt idx="35">
                        <c:v>-0.40853800000000001</c:v>
                      </c:pt>
                      <c:pt idx="36">
                        <c:v>-0.43203599999999998</c:v>
                      </c:pt>
                      <c:pt idx="37">
                        <c:v>-0.45434099999999999</c:v>
                      </c:pt>
                      <c:pt idx="38">
                        <c:v>-0.47551399999999999</c:v>
                      </c:pt>
                      <c:pt idx="39">
                        <c:v>-0.495612</c:v>
                      </c:pt>
                      <c:pt idx="40">
                        <c:v>-0.51469200000000004</c:v>
                      </c:pt>
                      <c:pt idx="41">
                        <c:v>-0.53280300000000003</c:v>
                      </c:pt>
                      <c:pt idx="42">
                        <c:v>-0.54999699999999996</c:v>
                      </c:pt>
                      <c:pt idx="43">
                        <c:v>-0.56631900000000002</c:v>
                      </c:pt>
                      <c:pt idx="44">
                        <c:v>-0.58181499999999997</c:v>
                      </c:pt>
                      <c:pt idx="45">
                        <c:v>-0.59652499999999997</c:v>
                      </c:pt>
                      <c:pt idx="46">
                        <c:v>-0.61049100000000001</c:v>
                      </c:pt>
                      <c:pt idx="47">
                        <c:v>-0.62375000000000003</c:v>
                      </c:pt>
                      <c:pt idx="48">
                        <c:v>-0.63633899999999999</c:v>
                      </c:pt>
                      <c:pt idx="49">
                        <c:v>-0.64829000000000003</c:v>
                      </c:pt>
                      <c:pt idx="50">
                        <c:v>-0.65963700000000003</c:v>
                      </c:pt>
                      <c:pt idx="51">
                        <c:v>-0.67041099999999998</c:v>
                      </c:pt>
                      <c:pt idx="52">
                        <c:v>-0.68064000000000002</c:v>
                      </c:pt>
                      <c:pt idx="53">
                        <c:v>-0.69035299999999999</c:v>
                      </c:pt>
                      <c:pt idx="54">
                        <c:v>-0.69957499999999995</c:v>
                      </c:pt>
                      <c:pt idx="55">
                        <c:v>-0.70833199999999996</c:v>
                      </c:pt>
                      <c:pt idx="56">
                        <c:v>-0.71664700000000003</c:v>
                      </c:pt>
                      <c:pt idx="57">
                        <c:v>-0.72454200000000002</c:v>
                      </c:pt>
                      <c:pt idx="58">
                        <c:v>-0.732039</c:v>
                      </c:pt>
                      <c:pt idx="59">
                        <c:v>-0.73915799999999998</c:v>
                      </c:pt>
                      <c:pt idx="60">
                        <c:v>-0.74591799999999997</c:v>
                      </c:pt>
                      <c:pt idx="61">
                        <c:v>-0.75233799999999995</c:v>
                      </c:pt>
                      <c:pt idx="62">
                        <c:v>-0.75843400000000005</c:v>
                      </c:pt>
                      <c:pt idx="63">
                        <c:v>-0.76422400000000001</c:v>
                      </c:pt>
                      <c:pt idx="64">
                        <c:v>-0.76972099999999999</c:v>
                      </c:pt>
                      <c:pt idx="65">
                        <c:v>-0.77494300000000005</c:v>
                      </c:pt>
                      <c:pt idx="66">
                        <c:v>-0.77990099999999996</c:v>
                      </c:pt>
                      <c:pt idx="67">
                        <c:v>-0.78461000000000003</c:v>
                      </c:pt>
                      <c:pt idx="68">
                        <c:v>-0.78908199999999995</c:v>
                      </c:pt>
                      <c:pt idx="69">
                        <c:v>-0.79332899999999995</c:v>
                      </c:pt>
                      <c:pt idx="70">
                        <c:v>-0.79736300000000004</c:v>
                      </c:pt>
                      <c:pt idx="71">
                        <c:v>-0.80119399999999996</c:v>
                      </c:pt>
                      <c:pt idx="72">
                        <c:v>-0.80483199999999999</c:v>
                      </c:pt>
                      <c:pt idx="73">
                        <c:v>-0.80828800000000001</c:v>
                      </c:pt>
                      <c:pt idx="74">
                        <c:v>-0.81157000000000001</c:v>
                      </c:pt>
                      <c:pt idx="75">
                        <c:v>-0.81468700000000005</c:v>
                      </c:pt>
                      <c:pt idx="76">
                        <c:v>-0.81764800000000004</c:v>
                      </c:pt>
                      <c:pt idx="77">
                        <c:v>-0.82045999999999997</c:v>
                      </c:pt>
                      <c:pt idx="78">
                        <c:v>-0.82313099999999995</c:v>
                      </c:pt>
                      <c:pt idx="79">
                        <c:v>-0.82566799999999996</c:v>
                      </c:pt>
                      <c:pt idx="80">
                        <c:v>-0.82807799999999998</c:v>
                      </c:pt>
                      <c:pt idx="81">
                        <c:v>-0.83036699999999997</c:v>
                      </c:pt>
                      <c:pt idx="82">
                        <c:v>-0.83254099999999998</c:v>
                      </c:pt>
                      <c:pt idx="83">
                        <c:v>-0.83460599999999996</c:v>
                      </c:pt>
                      <c:pt idx="84">
                        <c:v>-0.83656699999999995</c:v>
                      </c:pt>
                      <c:pt idx="85">
                        <c:v>-0.83843000000000001</c:v>
                      </c:pt>
                      <c:pt idx="86">
                        <c:v>-0.84019999999999995</c:v>
                      </c:pt>
                      <c:pt idx="87">
                        <c:v>-0.84188099999999999</c:v>
                      </c:pt>
                      <c:pt idx="88">
                        <c:v>-0.84347700000000003</c:v>
                      </c:pt>
                      <c:pt idx="89">
                        <c:v>-0.84499400000000002</c:v>
                      </c:pt>
                      <c:pt idx="90">
                        <c:v>-0.84643500000000005</c:v>
                      </c:pt>
                      <c:pt idx="91">
                        <c:v>-0.84780299999999997</c:v>
                      </c:pt>
                      <c:pt idx="92">
                        <c:v>-0.84910300000000005</c:v>
                      </c:pt>
                      <c:pt idx="93">
                        <c:v>-0.85033800000000004</c:v>
                      </c:pt>
                      <c:pt idx="94">
                        <c:v>-0.85151100000000002</c:v>
                      </c:pt>
                      <c:pt idx="95">
                        <c:v>-0.85262499999999997</c:v>
                      </c:pt>
                      <c:pt idx="96">
                        <c:v>-0.853684</c:v>
                      </c:pt>
                      <c:pt idx="97">
                        <c:v>-0.85468900000000003</c:v>
                      </c:pt>
                      <c:pt idx="98">
                        <c:v>-0.85564399999999996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A111-4F38-89AB-A53AC365B455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SD 0.25</c:v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pPr>
                    <a:solidFill>
                      <a:schemeClr val="accent3">
                        <a:lumMod val="75000"/>
                      </a:schemeClr>
                    </a:solidFill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Wykresy!$D$4:$D$63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-0.12604699999999999</c:v>
                      </c:pt>
                      <c:pt idx="3">
                        <c:v>-7.0845000000000005E-2</c:v>
                      </c:pt>
                      <c:pt idx="4">
                        <c:v>-4.2625999999999997E-2</c:v>
                      </c:pt>
                      <c:pt idx="5">
                        <c:v>-2.5635999999999999E-2</c:v>
                      </c:pt>
                      <c:pt idx="6">
                        <c:v>-1.5459000000000001E-2</c:v>
                      </c:pt>
                      <c:pt idx="7">
                        <c:v>-9.3270000000000002E-3</c:v>
                      </c:pt>
                      <c:pt idx="8">
                        <c:v>-5.6280000000000002E-3</c:v>
                      </c:pt>
                      <c:pt idx="9">
                        <c:v>-3.3969999999999998E-3</c:v>
                      </c:pt>
                      <c:pt idx="10">
                        <c:v>-2.0500000000000002E-3</c:v>
                      </c:pt>
                      <c:pt idx="11">
                        <c:v>-1.237E-3</c:v>
                      </c:pt>
                      <c:pt idx="12">
                        <c:v>-7.4700000000000005E-4</c:v>
                      </c:pt>
                      <c:pt idx="13">
                        <c:v>-4.5100000000000001E-4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Wykresy!$E$4:$E$63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0.27500000000000002</c:v>
                      </c:pt>
                      <c:pt idx="3">
                        <c:v>0.169012</c:v>
                      </c:pt>
                      <c:pt idx="4">
                        <c:v>0.102217</c:v>
                      </c:pt>
                      <c:pt idx="5">
                        <c:v>6.1765E-2</c:v>
                      </c:pt>
                      <c:pt idx="6">
                        <c:v>3.7290999999999998E-2</c:v>
                      </c:pt>
                      <c:pt idx="7">
                        <c:v>2.2509999999999999E-2</c:v>
                      </c:pt>
                      <c:pt idx="8">
                        <c:v>1.3587E-2</c:v>
                      </c:pt>
                      <c:pt idx="9">
                        <c:v>8.201E-3</c:v>
                      </c:pt>
                      <c:pt idx="10">
                        <c:v>4.9500000000000004E-3</c:v>
                      </c:pt>
                      <c:pt idx="11">
                        <c:v>2.9870000000000001E-3</c:v>
                      </c:pt>
                      <c:pt idx="12">
                        <c:v>1.8029999999999999E-3</c:v>
                      </c:pt>
                      <c:pt idx="13">
                        <c:v>1.088E-3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A111-4F38-89AB-A53AC365B455}"/>
                  </c:ext>
                </c:extLst>
              </c15:ser>
            </c15:filteredScatterSeries>
            <c15:filteredScatterSeries>
              <c15:ser>
                <c:idx val="8"/>
                <c:order val="5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Wykresy!$P$4:$P$102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1.9592149999999999</c:v>
                      </c:pt>
                      <c:pt idx="2">
                        <c:v>1.923295</c:v>
                      </c:pt>
                      <c:pt idx="3">
                        <c:v>1.8920030000000001</c:v>
                      </c:pt>
                      <c:pt idx="4">
                        <c:v>1.8650659999999999</c:v>
                      </c:pt>
                      <c:pt idx="5">
                        <c:v>1.842176</c:v>
                      </c:pt>
                      <c:pt idx="6">
                        <c:v>1.8229880000000001</c:v>
                      </c:pt>
                      <c:pt idx="7">
                        <c:v>1.8071250000000001</c:v>
                      </c:pt>
                      <c:pt idx="8">
                        <c:v>1.794189</c:v>
                      </c:pt>
                      <c:pt idx="9">
                        <c:v>1.7837780000000001</c:v>
                      </c:pt>
                      <c:pt idx="10">
                        <c:v>1.7755000000000001</c:v>
                      </c:pt>
                      <c:pt idx="11">
                        <c:v>1.7689889999999999</c:v>
                      </c:pt>
                      <c:pt idx="12">
                        <c:v>1.763916</c:v>
                      </c:pt>
                      <c:pt idx="13">
                        <c:v>1.759995</c:v>
                      </c:pt>
                      <c:pt idx="14">
                        <c:v>1.7569840000000001</c:v>
                      </c:pt>
                      <c:pt idx="15">
                        <c:v>1.7546839999999999</c:v>
                      </c:pt>
                      <c:pt idx="16">
                        <c:v>1.752934</c:v>
                      </c:pt>
                      <c:pt idx="17">
                        <c:v>1.7516080000000001</c:v>
                      </c:pt>
                      <c:pt idx="18">
                        <c:v>1.750605</c:v>
                      </c:pt>
                      <c:pt idx="19">
                        <c:v>1.7498480000000001</c:v>
                      </c:pt>
                      <c:pt idx="20">
                        <c:v>1.7492780000000001</c:v>
                      </c:pt>
                      <c:pt idx="21">
                        <c:v>1.748848</c:v>
                      </c:pt>
                      <c:pt idx="22">
                        <c:v>1.7485250000000001</c:v>
                      </c:pt>
                      <c:pt idx="23">
                        <c:v>1.748283</c:v>
                      </c:pt>
                      <c:pt idx="24">
                        <c:v>1.7481009999999999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Wykresy!$Q$4:$Q$102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1.2703930000000001</c:v>
                      </c:pt>
                      <c:pt idx="2">
                        <c:v>0.72585200000000005</c:v>
                      </c:pt>
                      <c:pt idx="3">
                        <c:v>0.31962400000000002</c:v>
                      </c:pt>
                      <c:pt idx="4">
                        <c:v>1.6685999999999999E-2</c:v>
                      </c:pt>
                      <c:pt idx="5">
                        <c:v>-0.209174</c:v>
                      </c:pt>
                      <c:pt idx="6">
                        <c:v>-0.377558</c:v>
                      </c:pt>
                      <c:pt idx="7">
                        <c:v>-0.50311099999999997</c:v>
                      </c:pt>
                      <c:pt idx="8">
                        <c:v>-0.59675599999999995</c:v>
                      </c:pt>
                      <c:pt idx="9">
                        <c:v>-0.66663499999999998</c:v>
                      </c:pt>
                      <c:pt idx="10">
                        <c:v>-0.71880900000000003</c:v>
                      </c:pt>
                      <c:pt idx="11">
                        <c:v>-0.75778900000000005</c:v>
                      </c:pt>
                      <c:pt idx="12">
                        <c:v>-0.78692899999999999</c:v>
                      </c:pt>
                      <c:pt idx="13">
                        <c:v>-0.80872599999999994</c:v>
                      </c:pt>
                      <c:pt idx="14">
                        <c:v>-0.82503800000000005</c:v>
                      </c:pt>
                      <c:pt idx="15">
                        <c:v>-0.837252</c:v>
                      </c:pt>
                      <c:pt idx="16">
                        <c:v>-0.84639900000000001</c:v>
                      </c:pt>
                      <c:pt idx="17">
                        <c:v>-0.85325300000000004</c:v>
                      </c:pt>
                      <c:pt idx="18">
                        <c:v>-0.85838899999999996</c:v>
                      </c:pt>
                      <c:pt idx="19">
                        <c:v>-0.86223899999999998</c:v>
                      </c:pt>
                      <c:pt idx="20">
                        <c:v>-0.86512500000000003</c:v>
                      </c:pt>
                      <c:pt idx="21">
                        <c:v>-0.86728899999999998</c:v>
                      </c:pt>
                      <c:pt idx="22">
                        <c:v>-0.86891099999999999</c:v>
                      </c:pt>
                      <c:pt idx="23">
                        <c:v>-0.87012800000000001</c:v>
                      </c:pt>
                      <c:pt idx="24">
                        <c:v>-0.87104000000000004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A111-4F38-89AB-A53AC365B455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SD zmienny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Wykresy!$F$4:$F$63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1.0066839999999999</c:v>
                      </c:pt>
                      <c:pt idx="3">
                        <c:v>0.82910399999999995</c:v>
                      </c:pt>
                      <c:pt idx="4">
                        <c:v>0.62784600000000002</c:v>
                      </c:pt>
                      <c:pt idx="5">
                        <c:v>0.423425</c:v>
                      </c:pt>
                      <c:pt idx="6">
                        <c:v>0.25284200000000001</c:v>
                      </c:pt>
                      <c:pt idx="7">
                        <c:v>0.13710800000000001</c:v>
                      </c:pt>
                      <c:pt idx="8">
                        <c:v>6.8718000000000001E-2</c:v>
                      </c:pt>
                      <c:pt idx="9">
                        <c:v>3.0952E-2</c:v>
                      </c:pt>
                      <c:pt idx="10">
                        <c:v>1.0886E-2</c:v>
                      </c:pt>
                      <c:pt idx="11">
                        <c:v>6.5200000000000002E-4</c:v>
                      </c:pt>
                      <c:pt idx="12">
                        <c:v>-4.2230000000000002E-3</c:v>
                      </c:pt>
                      <c:pt idx="13">
                        <c:v>-6.2300000000000003E-3</c:v>
                      </c:pt>
                      <c:pt idx="14">
                        <c:v>-6.7450000000000001E-3</c:v>
                      </c:pt>
                      <c:pt idx="15">
                        <c:v>-6.5189999999999996E-3</c:v>
                      </c:pt>
                      <c:pt idx="16">
                        <c:v>-5.96E-3</c:v>
                      </c:pt>
                      <c:pt idx="17">
                        <c:v>-5.2830000000000004E-3</c:v>
                      </c:pt>
                      <c:pt idx="18">
                        <c:v>-4.5960000000000003E-3</c:v>
                      </c:pt>
                      <c:pt idx="19">
                        <c:v>-3.9529999999999999E-3</c:v>
                      </c:pt>
                      <c:pt idx="20">
                        <c:v>-3.375E-3</c:v>
                      </c:pt>
                      <c:pt idx="21">
                        <c:v>-2.8679999999999999E-3</c:v>
                      </c:pt>
                      <c:pt idx="22">
                        <c:v>-2.4299999999999999E-3</c:v>
                      </c:pt>
                      <c:pt idx="23">
                        <c:v>-2.0539999999999998E-3</c:v>
                      </c:pt>
                      <c:pt idx="24">
                        <c:v>-1.7340000000000001E-3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Wykresy!$G$4:$G$63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1.007223</c:v>
                      </c:pt>
                      <c:pt idx="3">
                        <c:v>0.70633800000000002</c:v>
                      </c:pt>
                      <c:pt idx="4">
                        <c:v>0.483072</c:v>
                      </c:pt>
                      <c:pt idx="5">
                        <c:v>0.32432100000000003</c:v>
                      </c:pt>
                      <c:pt idx="6">
                        <c:v>0.21754999999999999</c:v>
                      </c:pt>
                      <c:pt idx="7">
                        <c:v>0.149035</c:v>
                      </c:pt>
                      <c:pt idx="8">
                        <c:v>0.105694</c:v>
                      </c:pt>
                      <c:pt idx="9">
                        <c:v>7.7797000000000005E-2</c:v>
                      </c:pt>
                      <c:pt idx="10">
                        <c:v>5.9219000000000001E-2</c:v>
                      </c:pt>
                      <c:pt idx="11">
                        <c:v>4.6338999999999998E-2</c:v>
                      </c:pt>
                      <c:pt idx="12">
                        <c:v>3.7044000000000001E-2</c:v>
                      </c:pt>
                      <c:pt idx="13">
                        <c:v>3.0086000000000002E-2</c:v>
                      </c:pt>
                      <c:pt idx="14">
                        <c:v>2.4714E-2</c:v>
                      </c:pt>
                      <c:pt idx="15">
                        <c:v>2.0462999999999999E-2</c:v>
                      </c:pt>
                      <c:pt idx="16">
                        <c:v>1.7035999999999999E-2</c:v>
                      </c:pt>
                      <c:pt idx="17">
                        <c:v>1.4236E-2</c:v>
                      </c:pt>
                      <c:pt idx="18">
                        <c:v>1.1927E-2</c:v>
                      </c:pt>
                      <c:pt idx="19">
                        <c:v>1.0009000000000001E-2</c:v>
                      </c:pt>
                      <c:pt idx="20">
                        <c:v>8.4089999999999998E-3</c:v>
                      </c:pt>
                      <c:pt idx="21">
                        <c:v>7.0699999999999999E-3</c:v>
                      </c:pt>
                      <c:pt idx="22">
                        <c:v>5.947E-3</c:v>
                      </c:pt>
                      <c:pt idx="23">
                        <c:v>5.0049999999999999E-3</c:v>
                      </c:pt>
                      <c:pt idx="24">
                        <c:v>4.2119999999999996E-3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111-4F38-89AB-A53AC365B455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Wykresy!$R$4:$R$102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1.983752</c:v>
                      </c:pt>
                      <c:pt idx="2">
                        <c:v>1.968259</c:v>
                      </c:pt>
                      <c:pt idx="3">
                        <c:v>1.9535070000000001</c:v>
                      </c:pt>
                      <c:pt idx="4">
                        <c:v>1.939481</c:v>
                      </c:pt>
                      <c:pt idx="5">
                        <c:v>1.926167</c:v>
                      </c:pt>
                      <c:pt idx="6">
                        <c:v>1.913548</c:v>
                      </c:pt>
                      <c:pt idx="7">
                        <c:v>1.901608</c:v>
                      </c:pt>
                      <c:pt idx="8">
                        <c:v>1.8903300000000001</c:v>
                      </c:pt>
                      <c:pt idx="9">
                        <c:v>1.879696</c:v>
                      </c:pt>
                      <c:pt idx="10">
                        <c:v>1.8696870000000001</c:v>
                      </c:pt>
                      <c:pt idx="11">
                        <c:v>1.860282</c:v>
                      </c:pt>
                      <c:pt idx="12">
                        <c:v>1.8514630000000001</c:v>
                      </c:pt>
                      <c:pt idx="13">
                        <c:v>1.843208</c:v>
                      </c:pt>
                      <c:pt idx="14">
                        <c:v>1.8354950000000001</c:v>
                      </c:pt>
                      <c:pt idx="15">
                        <c:v>1.828303</c:v>
                      </c:pt>
                      <c:pt idx="16">
                        <c:v>1.821607</c:v>
                      </c:pt>
                      <c:pt idx="17">
                        <c:v>1.8153859999999999</c:v>
                      </c:pt>
                      <c:pt idx="18">
                        <c:v>1.809617</c:v>
                      </c:pt>
                      <c:pt idx="19">
                        <c:v>1.804276</c:v>
                      </c:pt>
                      <c:pt idx="20">
                        <c:v>1.7993399999999999</c:v>
                      </c:pt>
                      <c:pt idx="21">
                        <c:v>1.7947850000000001</c:v>
                      </c:pt>
                      <c:pt idx="22">
                        <c:v>1.7905899999999999</c:v>
                      </c:pt>
                      <c:pt idx="23">
                        <c:v>1.786732</c:v>
                      </c:pt>
                      <c:pt idx="24">
                        <c:v>1.7831900000000001</c:v>
                      </c:pt>
                      <c:pt idx="25">
                        <c:v>1.779941</c:v>
                      </c:pt>
                      <c:pt idx="26">
                        <c:v>1.776966</c:v>
                      </c:pt>
                      <c:pt idx="27">
                        <c:v>1.774246</c:v>
                      </c:pt>
                      <c:pt idx="28">
                        <c:v>1.7717609999999999</c:v>
                      </c:pt>
                      <c:pt idx="29">
                        <c:v>1.7694939999999999</c:v>
                      </c:pt>
                      <c:pt idx="30">
                        <c:v>1.767428</c:v>
                      </c:pt>
                      <c:pt idx="31">
                        <c:v>1.7655479999999999</c:v>
                      </c:pt>
                      <c:pt idx="32">
                        <c:v>1.7638370000000001</c:v>
                      </c:pt>
                      <c:pt idx="33">
                        <c:v>1.7622819999999999</c:v>
                      </c:pt>
                      <c:pt idx="34">
                        <c:v>1.7608699999999999</c:v>
                      </c:pt>
                      <c:pt idx="35">
                        <c:v>1.7595890000000001</c:v>
                      </c:pt>
                      <c:pt idx="36">
                        <c:v>1.758427</c:v>
                      </c:pt>
                      <c:pt idx="37">
                        <c:v>1.7573749999999999</c:v>
                      </c:pt>
                      <c:pt idx="38">
                        <c:v>1.756421</c:v>
                      </c:pt>
                      <c:pt idx="39">
                        <c:v>1.7555590000000001</c:v>
                      </c:pt>
                      <c:pt idx="40">
                        <c:v>1.7547779999999999</c:v>
                      </c:pt>
                      <c:pt idx="41">
                        <c:v>1.7540720000000001</c:v>
                      </c:pt>
                      <c:pt idx="42">
                        <c:v>1.7534339999999999</c:v>
                      </c:pt>
                      <c:pt idx="43">
                        <c:v>1.7528570000000001</c:v>
                      </c:pt>
                      <c:pt idx="44">
                        <c:v>1.7523359999999999</c:v>
                      </c:pt>
                      <c:pt idx="45">
                        <c:v>1.7518659999999999</c:v>
                      </c:pt>
                      <c:pt idx="46">
                        <c:v>1.751441</c:v>
                      </c:pt>
                      <c:pt idx="47">
                        <c:v>1.751058</c:v>
                      </c:pt>
                      <c:pt idx="48">
                        <c:v>1.750712</c:v>
                      </c:pt>
                      <c:pt idx="49">
                        <c:v>1.7504</c:v>
                      </c:pt>
                      <c:pt idx="50">
                        <c:v>1.7501180000000001</c:v>
                      </c:pt>
                      <c:pt idx="51">
                        <c:v>1.749865</c:v>
                      </c:pt>
                      <c:pt idx="52">
                        <c:v>1.749636</c:v>
                      </c:pt>
                      <c:pt idx="53">
                        <c:v>1.7494289999999999</c:v>
                      </c:pt>
                      <c:pt idx="54">
                        <c:v>1.7492430000000001</c:v>
                      </c:pt>
                      <c:pt idx="55">
                        <c:v>1.7490760000000001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Wykresy!$S$4:$S$102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1.709344</c:v>
                      </c:pt>
                      <c:pt idx="2">
                        <c:v>1.4480660000000001</c:v>
                      </c:pt>
                      <c:pt idx="3">
                        <c:v>1.213212</c:v>
                      </c:pt>
                      <c:pt idx="4">
                        <c:v>1.0021180000000001</c:v>
                      </c:pt>
                      <c:pt idx="5">
                        <c:v>0.81239099999999997</c:v>
                      </c:pt>
                      <c:pt idx="6">
                        <c:v>0.64187499999999997</c:v>
                      </c:pt>
                      <c:pt idx="7">
                        <c:v>0.48863000000000001</c:v>
                      </c:pt>
                      <c:pt idx="8">
                        <c:v>0.35091099999999997</c:v>
                      </c:pt>
                      <c:pt idx="9">
                        <c:v>0.22714699999999999</c:v>
                      </c:pt>
                      <c:pt idx="10">
                        <c:v>0.115927</c:v>
                      </c:pt>
                      <c:pt idx="11">
                        <c:v>1.5979E-2</c:v>
                      </c:pt>
                      <c:pt idx="12">
                        <c:v>-7.3839000000000002E-2</c:v>
                      </c:pt>
                      <c:pt idx="13">
                        <c:v>-0.154554</c:v>
                      </c:pt>
                      <c:pt idx="14">
                        <c:v>-0.22709099999999999</c:v>
                      </c:pt>
                      <c:pt idx="15">
                        <c:v>-0.29227999999999998</c:v>
                      </c:pt>
                      <c:pt idx="16">
                        <c:v>-0.35086600000000001</c:v>
                      </c:pt>
                      <c:pt idx="17">
                        <c:v>-0.40352199999999999</c:v>
                      </c:pt>
                      <c:pt idx="18">
                        <c:v>-0.450849</c:v>
                      </c:pt>
                      <c:pt idx="19">
                        <c:v>-0.49339</c:v>
                      </c:pt>
                      <c:pt idx="20">
                        <c:v>-0.53163099999999996</c:v>
                      </c:pt>
                      <c:pt idx="21">
                        <c:v>-0.56600799999999996</c:v>
                      </c:pt>
                      <c:pt idx="22">
                        <c:v>-0.59691399999999994</c:v>
                      </c:pt>
                      <c:pt idx="23">
                        <c:v>-0.62470199999999998</c:v>
                      </c:pt>
                      <c:pt idx="24">
                        <c:v>-0.64968800000000004</c:v>
                      </c:pt>
                      <c:pt idx="25">
                        <c:v>-0.67215599999999998</c:v>
                      </c:pt>
                      <c:pt idx="26">
                        <c:v>-0.692361</c:v>
                      </c:pt>
                      <c:pt idx="27">
                        <c:v>-0.710534</c:v>
                      </c:pt>
                      <c:pt idx="28">
                        <c:v>-0.72687800000000002</c:v>
                      </c:pt>
                      <c:pt idx="29">
                        <c:v>-0.74158100000000005</c:v>
                      </c:pt>
                      <c:pt idx="30">
                        <c:v>-0.75480599999999998</c:v>
                      </c:pt>
                      <c:pt idx="31">
                        <c:v>-0.76670400000000005</c:v>
                      </c:pt>
                      <c:pt idx="32">
                        <c:v>-0.77740799999999999</c:v>
                      </c:pt>
                      <c:pt idx="33">
                        <c:v>-0.78703900000000004</c:v>
                      </c:pt>
                      <c:pt idx="34">
                        <c:v>-0.795705</c:v>
                      </c:pt>
                      <c:pt idx="35">
                        <c:v>-0.80350299999999997</c:v>
                      </c:pt>
                      <c:pt idx="36">
                        <c:v>-0.81052100000000005</c:v>
                      </c:pt>
                      <c:pt idx="37">
                        <c:v>-0.81683600000000001</c:v>
                      </c:pt>
                      <c:pt idx="38">
                        <c:v>-0.822519</c:v>
                      </c:pt>
                      <c:pt idx="39">
                        <c:v>-0.82763399999999998</c:v>
                      </c:pt>
                      <c:pt idx="40">
                        <c:v>-0.83223800000000003</c:v>
                      </c:pt>
                      <c:pt idx="41">
                        <c:v>-0.83638199999999996</c:v>
                      </c:pt>
                      <c:pt idx="42">
                        <c:v>-0.84011199999999997</c:v>
                      </c:pt>
                      <c:pt idx="43">
                        <c:v>-0.84346900000000002</c:v>
                      </c:pt>
                      <c:pt idx="44">
                        <c:v>-0.84649099999999999</c:v>
                      </c:pt>
                      <c:pt idx="45">
                        <c:v>-0.84921100000000005</c:v>
                      </c:pt>
                      <c:pt idx="46">
                        <c:v>-0.85165999999999997</c:v>
                      </c:pt>
                      <c:pt idx="47">
                        <c:v>-0.85386499999999999</c:v>
                      </c:pt>
                      <c:pt idx="48">
                        <c:v>-0.85585</c:v>
                      </c:pt>
                      <c:pt idx="49">
                        <c:v>-0.85763599999999995</c:v>
                      </c:pt>
                      <c:pt idx="50">
                        <c:v>-0.85924500000000004</c:v>
                      </c:pt>
                      <c:pt idx="51">
                        <c:v>-0.86069300000000004</c:v>
                      </c:pt>
                      <c:pt idx="52">
                        <c:v>-0.86199700000000001</c:v>
                      </c:pt>
                      <c:pt idx="53">
                        <c:v>-0.86316999999999999</c:v>
                      </c:pt>
                      <c:pt idx="54">
                        <c:v>-0.86422699999999997</c:v>
                      </c:pt>
                      <c:pt idx="55">
                        <c:v>-0.86517900000000003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A111-4F38-89AB-A53AC365B455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Newton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5"/>
          <c:order val="2"/>
          <c:tx>
            <c:v>Newton 0.05</c:v>
          </c:tx>
          <c:xVal>
            <c:numRef>
              <c:f>Wykresy!$N$4:$N$102</c:f>
              <c:numCache>
                <c:formatCode>General</c:formatCode>
                <c:ptCount val="99"/>
                <c:pt idx="0">
                  <c:v>2</c:v>
                </c:pt>
                <c:pt idx="1">
                  <c:v>1.991843</c:v>
                </c:pt>
                <c:pt idx="2">
                  <c:v>1.9838750000000001</c:v>
                </c:pt>
                <c:pt idx="3">
                  <c:v>1.976094</c:v>
                </c:pt>
                <c:pt idx="4">
                  <c:v>1.9684980000000001</c:v>
                </c:pt>
                <c:pt idx="5">
                  <c:v>1.9610860000000001</c:v>
                </c:pt>
                <c:pt idx="6">
                  <c:v>1.953856</c:v>
                </c:pt>
                <c:pt idx="7">
                  <c:v>1.9468049999999999</c:v>
                </c:pt>
                <c:pt idx="8">
                  <c:v>1.9399329999999999</c:v>
                </c:pt>
                <c:pt idx="9">
                  <c:v>1.9332370000000001</c:v>
                </c:pt>
                <c:pt idx="10">
                  <c:v>1.926715</c:v>
                </c:pt>
                <c:pt idx="11">
                  <c:v>1.920366</c:v>
                </c:pt>
                <c:pt idx="12">
                  <c:v>1.9141859999999999</c:v>
                </c:pt>
                <c:pt idx="13">
                  <c:v>1.908174</c:v>
                </c:pt>
                <c:pt idx="14">
                  <c:v>1.902328</c:v>
                </c:pt>
                <c:pt idx="15">
                  <c:v>1.8966460000000001</c:v>
                </c:pt>
                <c:pt idx="16">
                  <c:v>1.8911249999999999</c:v>
                </c:pt>
                <c:pt idx="17">
                  <c:v>1.8857630000000001</c:v>
                </c:pt>
                <c:pt idx="18">
                  <c:v>1.880558</c:v>
                </c:pt>
                <c:pt idx="19">
                  <c:v>1.875507</c:v>
                </c:pt>
                <c:pt idx="20">
                  <c:v>1.870608</c:v>
                </c:pt>
                <c:pt idx="21">
                  <c:v>1.865858</c:v>
                </c:pt>
                <c:pt idx="22">
                  <c:v>1.861256</c:v>
                </c:pt>
                <c:pt idx="23">
                  <c:v>1.856797</c:v>
                </c:pt>
                <c:pt idx="24">
                  <c:v>1.852481</c:v>
                </c:pt>
                <c:pt idx="25">
                  <c:v>1.848303</c:v>
                </c:pt>
                <c:pt idx="26">
                  <c:v>1.8442620000000001</c:v>
                </c:pt>
                <c:pt idx="27">
                  <c:v>1.840355</c:v>
                </c:pt>
                <c:pt idx="28">
                  <c:v>1.836578</c:v>
                </c:pt>
                <c:pt idx="29">
                  <c:v>1.8329299999999999</c:v>
                </c:pt>
                <c:pt idx="30">
                  <c:v>1.8294079999999999</c:v>
                </c:pt>
                <c:pt idx="31">
                  <c:v>1.8260080000000001</c:v>
                </c:pt>
                <c:pt idx="32">
                  <c:v>1.822727</c:v>
                </c:pt>
                <c:pt idx="33">
                  <c:v>1.819564</c:v>
                </c:pt>
                <c:pt idx="34">
                  <c:v>1.8165150000000001</c:v>
                </c:pt>
                <c:pt idx="35">
                  <c:v>1.813577</c:v>
                </c:pt>
                <c:pt idx="36">
                  <c:v>1.8107470000000001</c:v>
                </c:pt>
                <c:pt idx="37">
                  <c:v>1.8080229999999999</c:v>
                </c:pt>
                <c:pt idx="38">
                  <c:v>1.805402</c:v>
                </c:pt>
                <c:pt idx="39">
                  <c:v>1.80288</c:v>
                </c:pt>
                <c:pt idx="40">
                  <c:v>1.8004560000000001</c:v>
                </c:pt>
                <c:pt idx="41">
                  <c:v>1.7981259999999999</c:v>
                </c:pt>
                <c:pt idx="42">
                  <c:v>1.795887</c:v>
                </c:pt>
                <c:pt idx="43">
                  <c:v>1.7937369999999999</c:v>
                </c:pt>
                <c:pt idx="44">
                  <c:v>1.7916730000000001</c:v>
                </c:pt>
                <c:pt idx="45">
                  <c:v>1.7896920000000001</c:v>
                </c:pt>
                <c:pt idx="46">
                  <c:v>1.787792</c:v>
                </c:pt>
                <c:pt idx="47">
                  <c:v>1.7859700000000001</c:v>
                </c:pt>
                <c:pt idx="48">
                  <c:v>1.7842229999999999</c:v>
                </c:pt>
                <c:pt idx="49">
                  <c:v>1.7825489999999999</c:v>
                </c:pt>
                <c:pt idx="50">
                  <c:v>1.780945</c:v>
                </c:pt>
                <c:pt idx="51">
                  <c:v>1.779409</c:v>
                </c:pt>
                <c:pt idx="52">
                  <c:v>1.777938</c:v>
                </c:pt>
                <c:pt idx="53">
                  <c:v>1.7765299999999999</c:v>
                </c:pt>
                <c:pt idx="54">
                  <c:v>1.775183</c:v>
                </c:pt>
                <c:pt idx="55">
                  <c:v>1.773895</c:v>
                </c:pt>
                <c:pt idx="56">
                  <c:v>1.7726630000000001</c:v>
                </c:pt>
                <c:pt idx="57">
                  <c:v>1.771485</c:v>
                </c:pt>
                <c:pt idx="58">
                  <c:v>1.770359</c:v>
                </c:pt>
                <c:pt idx="59">
                  <c:v>1.7692829999999999</c:v>
                </c:pt>
                <c:pt idx="60">
                  <c:v>1.768256</c:v>
                </c:pt>
                <c:pt idx="61">
                  <c:v>1.767274</c:v>
                </c:pt>
                <c:pt idx="62">
                  <c:v>1.766337</c:v>
                </c:pt>
                <c:pt idx="63">
                  <c:v>1.765442</c:v>
                </c:pt>
                <c:pt idx="64">
                  <c:v>1.764588</c:v>
                </c:pt>
                <c:pt idx="65">
                  <c:v>1.763773</c:v>
                </c:pt>
                <c:pt idx="66">
                  <c:v>1.7629950000000001</c:v>
                </c:pt>
                <c:pt idx="67">
                  <c:v>1.7622530000000001</c:v>
                </c:pt>
                <c:pt idx="68">
                  <c:v>1.7615460000000001</c:v>
                </c:pt>
                <c:pt idx="69">
                  <c:v>1.7608710000000001</c:v>
                </c:pt>
                <c:pt idx="70">
                  <c:v>1.7602279999999999</c:v>
                </c:pt>
                <c:pt idx="71">
                  <c:v>1.7596149999999999</c:v>
                </c:pt>
                <c:pt idx="72">
                  <c:v>1.7590300000000001</c:v>
                </c:pt>
                <c:pt idx="73">
                  <c:v>1.7584740000000001</c:v>
                </c:pt>
                <c:pt idx="74">
                  <c:v>1.757943</c:v>
                </c:pt>
                <c:pt idx="75">
                  <c:v>1.7574369999999999</c:v>
                </c:pt>
                <c:pt idx="76">
                  <c:v>1.756956</c:v>
                </c:pt>
                <c:pt idx="77">
                  <c:v>1.756497</c:v>
                </c:pt>
                <c:pt idx="78">
                  <c:v>1.75606</c:v>
                </c:pt>
                <c:pt idx="79">
                  <c:v>1.755644</c:v>
                </c:pt>
                <c:pt idx="80">
                  <c:v>1.7552479999999999</c:v>
                </c:pt>
                <c:pt idx="81">
                  <c:v>1.7548710000000001</c:v>
                </c:pt>
                <c:pt idx="82">
                  <c:v>1.7545120000000001</c:v>
                </c:pt>
                <c:pt idx="83">
                  <c:v>1.7541709999999999</c:v>
                </c:pt>
                <c:pt idx="84">
                  <c:v>1.753846</c:v>
                </c:pt>
                <c:pt idx="85">
                  <c:v>1.753536</c:v>
                </c:pt>
                <c:pt idx="86">
                  <c:v>1.753242</c:v>
                </c:pt>
                <c:pt idx="87">
                  <c:v>1.752961</c:v>
                </c:pt>
                <c:pt idx="88">
                  <c:v>1.7526949999999999</c:v>
                </c:pt>
                <c:pt idx="89">
                  <c:v>1.7524409999999999</c:v>
                </c:pt>
                <c:pt idx="90">
                  <c:v>1.7522</c:v>
                </c:pt>
                <c:pt idx="91">
                  <c:v>1.75197</c:v>
                </c:pt>
                <c:pt idx="92">
                  <c:v>1.751752</c:v>
                </c:pt>
                <c:pt idx="93">
                  <c:v>1.751544</c:v>
                </c:pt>
                <c:pt idx="94">
                  <c:v>1.751347</c:v>
                </c:pt>
                <c:pt idx="95">
                  <c:v>1.7511589999999999</c:v>
                </c:pt>
                <c:pt idx="96">
                  <c:v>1.75098</c:v>
                </c:pt>
                <c:pt idx="97">
                  <c:v>1.7508109999999999</c:v>
                </c:pt>
                <c:pt idx="98">
                  <c:v>1.7506489999999999</c:v>
                </c:pt>
              </c:numCache>
              <c:extLst xmlns:c15="http://schemas.microsoft.com/office/drawing/2012/chart"/>
            </c:numRef>
          </c:xVal>
          <c:yVal>
            <c:numRef>
              <c:f>Wykresy!$O$4:$O$102</c:f>
              <c:numCache>
                <c:formatCode>General</c:formatCode>
                <c:ptCount val="99"/>
                <c:pt idx="0">
                  <c:v>2</c:v>
                </c:pt>
                <c:pt idx="1">
                  <c:v>1.854079</c:v>
                </c:pt>
                <c:pt idx="2">
                  <c:v>1.7155629999999999</c:v>
                </c:pt>
                <c:pt idx="3">
                  <c:v>1.5840780000000001</c:v>
                </c:pt>
                <c:pt idx="4">
                  <c:v>1.4592700000000001</c:v>
                </c:pt>
                <c:pt idx="5">
                  <c:v>1.3408</c:v>
                </c:pt>
                <c:pt idx="6">
                  <c:v>1.228348</c:v>
                </c:pt>
                <c:pt idx="7">
                  <c:v>1.1216090000000001</c:v>
                </c:pt>
                <c:pt idx="8">
                  <c:v>1.020295</c:v>
                </c:pt>
                <c:pt idx="9">
                  <c:v>0.92413000000000001</c:v>
                </c:pt>
                <c:pt idx="10">
                  <c:v>0.83285299999999995</c:v>
                </c:pt>
                <c:pt idx="11">
                  <c:v>0.74621700000000002</c:v>
                </c:pt>
                <c:pt idx="12">
                  <c:v>0.66398699999999999</c:v>
                </c:pt>
                <c:pt idx="13">
                  <c:v>0.58593899999999999</c:v>
                </c:pt>
                <c:pt idx="14">
                  <c:v>0.51186100000000001</c:v>
                </c:pt>
                <c:pt idx="15">
                  <c:v>0.44155100000000003</c:v>
                </c:pt>
                <c:pt idx="16">
                  <c:v>0.37481799999999998</c:v>
                </c:pt>
                <c:pt idx="17">
                  <c:v>0.31147900000000001</c:v>
                </c:pt>
                <c:pt idx="18">
                  <c:v>0.25136399999999998</c:v>
                </c:pt>
                <c:pt idx="19">
                  <c:v>0.19430700000000001</c:v>
                </c:pt>
                <c:pt idx="20">
                  <c:v>0.140154</c:v>
                </c:pt>
                <c:pt idx="21">
                  <c:v>8.8756000000000002E-2</c:v>
                </c:pt>
                <c:pt idx="22">
                  <c:v>3.9973000000000002E-2</c:v>
                </c:pt>
                <c:pt idx="23">
                  <c:v>-6.3280000000000003E-3</c:v>
                </c:pt>
                <c:pt idx="24">
                  <c:v>-5.0272999999999998E-2</c:v>
                </c:pt>
                <c:pt idx="25">
                  <c:v>-9.1982999999999995E-2</c:v>
                </c:pt>
                <c:pt idx="26">
                  <c:v>-0.13157099999999999</c:v>
                </c:pt>
                <c:pt idx="27">
                  <c:v>-0.16914499999999999</c:v>
                </c:pt>
                <c:pt idx="28">
                  <c:v>-0.20480899999999999</c:v>
                </c:pt>
                <c:pt idx="29">
                  <c:v>-0.23865900000000001</c:v>
                </c:pt>
                <c:pt idx="30">
                  <c:v>-0.27078799999999997</c:v>
                </c:pt>
                <c:pt idx="31">
                  <c:v>-0.30128300000000002</c:v>
                </c:pt>
                <c:pt idx="32">
                  <c:v>-0.33022899999999999</c:v>
                </c:pt>
                <c:pt idx="33">
                  <c:v>-0.35770400000000002</c:v>
                </c:pt>
                <c:pt idx="34">
                  <c:v>-0.38378299999999999</c:v>
                </c:pt>
                <c:pt idx="35">
                  <c:v>-0.40853800000000001</c:v>
                </c:pt>
                <c:pt idx="36">
                  <c:v>-0.43203599999999998</c:v>
                </c:pt>
                <c:pt idx="37">
                  <c:v>-0.45434099999999999</c:v>
                </c:pt>
                <c:pt idx="38">
                  <c:v>-0.47551399999999999</c:v>
                </c:pt>
                <c:pt idx="39">
                  <c:v>-0.495612</c:v>
                </c:pt>
                <c:pt idx="40">
                  <c:v>-0.51469200000000004</c:v>
                </c:pt>
                <c:pt idx="41">
                  <c:v>-0.53280300000000003</c:v>
                </c:pt>
                <c:pt idx="42">
                  <c:v>-0.54999699999999996</c:v>
                </c:pt>
                <c:pt idx="43">
                  <c:v>-0.56631900000000002</c:v>
                </c:pt>
                <c:pt idx="44">
                  <c:v>-0.58181499999999997</c:v>
                </c:pt>
                <c:pt idx="45">
                  <c:v>-0.59652499999999997</c:v>
                </c:pt>
                <c:pt idx="46">
                  <c:v>-0.61049100000000001</c:v>
                </c:pt>
                <c:pt idx="47">
                  <c:v>-0.62375000000000003</c:v>
                </c:pt>
                <c:pt idx="48">
                  <c:v>-0.63633899999999999</c:v>
                </c:pt>
                <c:pt idx="49">
                  <c:v>-0.64829000000000003</c:v>
                </c:pt>
                <c:pt idx="50">
                  <c:v>-0.65963700000000003</c:v>
                </c:pt>
                <c:pt idx="51">
                  <c:v>-0.67041099999999998</c:v>
                </c:pt>
                <c:pt idx="52">
                  <c:v>-0.68064000000000002</c:v>
                </c:pt>
                <c:pt idx="53">
                  <c:v>-0.69035299999999999</c:v>
                </c:pt>
                <c:pt idx="54">
                  <c:v>-0.69957499999999995</c:v>
                </c:pt>
                <c:pt idx="55">
                  <c:v>-0.70833199999999996</c:v>
                </c:pt>
                <c:pt idx="56">
                  <c:v>-0.71664700000000003</c:v>
                </c:pt>
                <c:pt idx="57">
                  <c:v>-0.72454200000000002</c:v>
                </c:pt>
                <c:pt idx="58">
                  <c:v>-0.732039</c:v>
                </c:pt>
                <c:pt idx="59">
                  <c:v>-0.73915799999999998</c:v>
                </c:pt>
                <c:pt idx="60">
                  <c:v>-0.74591799999999997</c:v>
                </c:pt>
                <c:pt idx="61">
                  <c:v>-0.75233799999999995</c:v>
                </c:pt>
                <c:pt idx="62">
                  <c:v>-0.75843400000000005</c:v>
                </c:pt>
                <c:pt idx="63">
                  <c:v>-0.76422400000000001</c:v>
                </c:pt>
                <c:pt idx="64">
                  <c:v>-0.76972099999999999</c:v>
                </c:pt>
                <c:pt idx="65">
                  <c:v>-0.77494300000000005</c:v>
                </c:pt>
                <c:pt idx="66">
                  <c:v>-0.77990099999999996</c:v>
                </c:pt>
                <c:pt idx="67">
                  <c:v>-0.78461000000000003</c:v>
                </c:pt>
                <c:pt idx="68">
                  <c:v>-0.78908199999999995</c:v>
                </c:pt>
                <c:pt idx="69">
                  <c:v>-0.79332899999999995</c:v>
                </c:pt>
                <c:pt idx="70">
                  <c:v>-0.79736300000000004</c:v>
                </c:pt>
                <c:pt idx="71">
                  <c:v>-0.80119399999999996</c:v>
                </c:pt>
                <c:pt idx="72">
                  <c:v>-0.80483199999999999</c:v>
                </c:pt>
                <c:pt idx="73">
                  <c:v>-0.80828800000000001</c:v>
                </c:pt>
                <c:pt idx="74">
                  <c:v>-0.81157000000000001</c:v>
                </c:pt>
                <c:pt idx="75">
                  <c:v>-0.81468700000000005</c:v>
                </c:pt>
                <c:pt idx="76">
                  <c:v>-0.81764800000000004</c:v>
                </c:pt>
                <c:pt idx="77">
                  <c:v>-0.82045999999999997</c:v>
                </c:pt>
                <c:pt idx="78">
                  <c:v>-0.82313099999999995</c:v>
                </c:pt>
                <c:pt idx="79">
                  <c:v>-0.82566799999999996</c:v>
                </c:pt>
                <c:pt idx="80">
                  <c:v>-0.82807799999999998</c:v>
                </c:pt>
                <c:pt idx="81">
                  <c:v>-0.83036699999999997</c:v>
                </c:pt>
                <c:pt idx="82">
                  <c:v>-0.83254099999999998</c:v>
                </c:pt>
                <c:pt idx="83">
                  <c:v>-0.83460599999999996</c:v>
                </c:pt>
                <c:pt idx="84">
                  <c:v>-0.83656699999999995</c:v>
                </c:pt>
                <c:pt idx="85">
                  <c:v>-0.83843000000000001</c:v>
                </c:pt>
                <c:pt idx="86">
                  <c:v>-0.84019999999999995</c:v>
                </c:pt>
                <c:pt idx="87">
                  <c:v>-0.84188099999999999</c:v>
                </c:pt>
                <c:pt idx="88">
                  <c:v>-0.84347700000000003</c:v>
                </c:pt>
                <c:pt idx="89">
                  <c:v>-0.84499400000000002</c:v>
                </c:pt>
                <c:pt idx="90">
                  <c:v>-0.84643500000000005</c:v>
                </c:pt>
                <c:pt idx="91">
                  <c:v>-0.84780299999999997</c:v>
                </c:pt>
                <c:pt idx="92">
                  <c:v>-0.84910300000000005</c:v>
                </c:pt>
                <c:pt idx="93">
                  <c:v>-0.85033800000000004</c:v>
                </c:pt>
                <c:pt idx="94">
                  <c:v>-0.85151100000000002</c:v>
                </c:pt>
                <c:pt idx="95">
                  <c:v>-0.85262499999999997</c:v>
                </c:pt>
                <c:pt idx="96">
                  <c:v>-0.853684</c:v>
                </c:pt>
                <c:pt idx="97">
                  <c:v>-0.85468900000000003</c:v>
                </c:pt>
                <c:pt idx="98">
                  <c:v>-0.85564399999999996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4-A703-445B-AFAE-66EB29B08043}"/>
            </c:ext>
          </c:extLst>
        </c:ser>
        <c:ser>
          <c:idx val="8"/>
          <c:order val="5"/>
          <c:tx>
            <c:v>Newton 0.25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xVal>
            <c:numRef>
              <c:f>Wykresy!$P$4:$P$102</c:f>
              <c:numCache>
                <c:formatCode>General</c:formatCode>
                <c:ptCount val="99"/>
                <c:pt idx="0">
                  <c:v>2</c:v>
                </c:pt>
                <c:pt idx="1">
                  <c:v>1.9592149999999999</c:v>
                </c:pt>
                <c:pt idx="2">
                  <c:v>1.923295</c:v>
                </c:pt>
                <c:pt idx="3">
                  <c:v>1.8920030000000001</c:v>
                </c:pt>
                <c:pt idx="4">
                  <c:v>1.8650659999999999</c:v>
                </c:pt>
                <c:pt idx="5">
                  <c:v>1.842176</c:v>
                </c:pt>
                <c:pt idx="6">
                  <c:v>1.8229880000000001</c:v>
                </c:pt>
                <c:pt idx="7">
                  <c:v>1.8071250000000001</c:v>
                </c:pt>
                <c:pt idx="8">
                  <c:v>1.794189</c:v>
                </c:pt>
                <c:pt idx="9">
                  <c:v>1.7837780000000001</c:v>
                </c:pt>
                <c:pt idx="10">
                  <c:v>1.7755000000000001</c:v>
                </c:pt>
                <c:pt idx="11">
                  <c:v>1.7689889999999999</c:v>
                </c:pt>
                <c:pt idx="12">
                  <c:v>1.763916</c:v>
                </c:pt>
                <c:pt idx="13">
                  <c:v>1.759995</c:v>
                </c:pt>
                <c:pt idx="14">
                  <c:v>1.7569840000000001</c:v>
                </c:pt>
                <c:pt idx="15">
                  <c:v>1.7546839999999999</c:v>
                </c:pt>
                <c:pt idx="16">
                  <c:v>1.752934</c:v>
                </c:pt>
                <c:pt idx="17">
                  <c:v>1.7516080000000001</c:v>
                </c:pt>
                <c:pt idx="18">
                  <c:v>1.750605</c:v>
                </c:pt>
                <c:pt idx="19">
                  <c:v>1.7498480000000001</c:v>
                </c:pt>
                <c:pt idx="20">
                  <c:v>1.7492780000000001</c:v>
                </c:pt>
                <c:pt idx="21">
                  <c:v>1.748848</c:v>
                </c:pt>
                <c:pt idx="22">
                  <c:v>1.7485250000000001</c:v>
                </c:pt>
                <c:pt idx="23">
                  <c:v>1.748283</c:v>
                </c:pt>
                <c:pt idx="24">
                  <c:v>1.7481009999999999</c:v>
                </c:pt>
              </c:numCache>
              <c:extLst xmlns:c15="http://schemas.microsoft.com/office/drawing/2012/chart"/>
            </c:numRef>
          </c:xVal>
          <c:yVal>
            <c:numRef>
              <c:f>Wykresy!$Q$4:$Q$102</c:f>
              <c:numCache>
                <c:formatCode>General</c:formatCode>
                <c:ptCount val="99"/>
                <c:pt idx="0">
                  <c:v>2</c:v>
                </c:pt>
                <c:pt idx="1">
                  <c:v>1.2703930000000001</c:v>
                </c:pt>
                <c:pt idx="2">
                  <c:v>0.72585200000000005</c:v>
                </c:pt>
                <c:pt idx="3">
                  <c:v>0.31962400000000002</c:v>
                </c:pt>
                <c:pt idx="4">
                  <c:v>1.6685999999999999E-2</c:v>
                </c:pt>
                <c:pt idx="5">
                  <c:v>-0.209174</c:v>
                </c:pt>
                <c:pt idx="6">
                  <c:v>-0.377558</c:v>
                </c:pt>
                <c:pt idx="7">
                  <c:v>-0.50311099999999997</c:v>
                </c:pt>
                <c:pt idx="8">
                  <c:v>-0.59675599999999995</c:v>
                </c:pt>
                <c:pt idx="9">
                  <c:v>-0.66663499999999998</c:v>
                </c:pt>
                <c:pt idx="10">
                  <c:v>-0.71880900000000003</c:v>
                </c:pt>
                <c:pt idx="11">
                  <c:v>-0.75778900000000005</c:v>
                </c:pt>
                <c:pt idx="12">
                  <c:v>-0.78692899999999999</c:v>
                </c:pt>
                <c:pt idx="13">
                  <c:v>-0.80872599999999994</c:v>
                </c:pt>
                <c:pt idx="14">
                  <c:v>-0.82503800000000005</c:v>
                </c:pt>
                <c:pt idx="15">
                  <c:v>-0.837252</c:v>
                </c:pt>
                <c:pt idx="16">
                  <c:v>-0.84639900000000001</c:v>
                </c:pt>
                <c:pt idx="17">
                  <c:v>-0.85325300000000004</c:v>
                </c:pt>
                <c:pt idx="18">
                  <c:v>-0.85838899999999996</c:v>
                </c:pt>
                <c:pt idx="19">
                  <c:v>-0.86223899999999998</c:v>
                </c:pt>
                <c:pt idx="20">
                  <c:v>-0.86512500000000003</c:v>
                </c:pt>
                <c:pt idx="21">
                  <c:v>-0.86728899999999998</c:v>
                </c:pt>
                <c:pt idx="22">
                  <c:v>-0.86891099999999999</c:v>
                </c:pt>
                <c:pt idx="23">
                  <c:v>-0.87012800000000001</c:v>
                </c:pt>
                <c:pt idx="24">
                  <c:v>-0.87104000000000004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6-A703-445B-AFAE-66EB29B08043}"/>
            </c:ext>
          </c:extLst>
        </c:ser>
        <c:ser>
          <c:idx val="2"/>
          <c:order val="8"/>
          <c:tx>
            <c:v>Newton zmeinny</c:v>
          </c:tx>
          <c:spPr>
            <a:ln w="1905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Wykresy!$R$4:$R$102</c:f>
              <c:numCache>
                <c:formatCode>General</c:formatCode>
                <c:ptCount val="99"/>
                <c:pt idx="0">
                  <c:v>2</c:v>
                </c:pt>
                <c:pt idx="1">
                  <c:v>1.983752</c:v>
                </c:pt>
                <c:pt idx="2">
                  <c:v>1.968259</c:v>
                </c:pt>
                <c:pt idx="3">
                  <c:v>1.9535070000000001</c:v>
                </c:pt>
                <c:pt idx="4">
                  <c:v>1.939481</c:v>
                </c:pt>
                <c:pt idx="5">
                  <c:v>1.926167</c:v>
                </c:pt>
                <c:pt idx="6">
                  <c:v>1.913548</c:v>
                </c:pt>
                <c:pt idx="7">
                  <c:v>1.901608</c:v>
                </c:pt>
                <c:pt idx="8">
                  <c:v>1.8903300000000001</c:v>
                </c:pt>
                <c:pt idx="9">
                  <c:v>1.879696</c:v>
                </c:pt>
                <c:pt idx="10">
                  <c:v>1.8696870000000001</c:v>
                </c:pt>
                <c:pt idx="11">
                  <c:v>1.860282</c:v>
                </c:pt>
                <c:pt idx="12">
                  <c:v>1.8514630000000001</c:v>
                </c:pt>
                <c:pt idx="13">
                  <c:v>1.843208</c:v>
                </c:pt>
                <c:pt idx="14">
                  <c:v>1.8354950000000001</c:v>
                </c:pt>
                <c:pt idx="15">
                  <c:v>1.828303</c:v>
                </c:pt>
                <c:pt idx="16">
                  <c:v>1.821607</c:v>
                </c:pt>
                <c:pt idx="17">
                  <c:v>1.8153859999999999</c:v>
                </c:pt>
                <c:pt idx="18">
                  <c:v>1.809617</c:v>
                </c:pt>
                <c:pt idx="19">
                  <c:v>1.804276</c:v>
                </c:pt>
                <c:pt idx="20">
                  <c:v>1.7993399999999999</c:v>
                </c:pt>
                <c:pt idx="21">
                  <c:v>1.7947850000000001</c:v>
                </c:pt>
                <c:pt idx="22">
                  <c:v>1.7905899999999999</c:v>
                </c:pt>
                <c:pt idx="23">
                  <c:v>1.786732</c:v>
                </c:pt>
                <c:pt idx="24">
                  <c:v>1.7831900000000001</c:v>
                </c:pt>
                <c:pt idx="25">
                  <c:v>1.779941</c:v>
                </c:pt>
                <c:pt idx="26">
                  <c:v>1.776966</c:v>
                </c:pt>
                <c:pt idx="27">
                  <c:v>1.774246</c:v>
                </c:pt>
                <c:pt idx="28">
                  <c:v>1.7717609999999999</c:v>
                </c:pt>
                <c:pt idx="29">
                  <c:v>1.7694939999999999</c:v>
                </c:pt>
                <c:pt idx="30">
                  <c:v>1.767428</c:v>
                </c:pt>
                <c:pt idx="31">
                  <c:v>1.7655479999999999</c:v>
                </c:pt>
                <c:pt idx="32">
                  <c:v>1.7638370000000001</c:v>
                </c:pt>
                <c:pt idx="33">
                  <c:v>1.7622819999999999</c:v>
                </c:pt>
                <c:pt idx="34">
                  <c:v>1.7608699999999999</c:v>
                </c:pt>
                <c:pt idx="35">
                  <c:v>1.7595890000000001</c:v>
                </c:pt>
                <c:pt idx="36">
                  <c:v>1.758427</c:v>
                </c:pt>
                <c:pt idx="37">
                  <c:v>1.7573749999999999</c:v>
                </c:pt>
                <c:pt idx="38">
                  <c:v>1.756421</c:v>
                </c:pt>
                <c:pt idx="39">
                  <c:v>1.7555590000000001</c:v>
                </c:pt>
                <c:pt idx="40">
                  <c:v>1.7547779999999999</c:v>
                </c:pt>
                <c:pt idx="41">
                  <c:v>1.7540720000000001</c:v>
                </c:pt>
                <c:pt idx="42">
                  <c:v>1.7534339999999999</c:v>
                </c:pt>
                <c:pt idx="43">
                  <c:v>1.7528570000000001</c:v>
                </c:pt>
                <c:pt idx="44">
                  <c:v>1.7523359999999999</c:v>
                </c:pt>
                <c:pt idx="45">
                  <c:v>1.7518659999999999</c:v>
                </c:pt>
                <c:pt idx="46">
                  <c:v>1.751441</c:v>
                </c:pt>
                <c:pt idx="47">
                  <c:v>1.751058</c:v>
                </c:pt>
                <c:pt idx="48">
                  <c:v>1.750712</c:v>
                </c:pt>
                <c:pt idx="49">
                  <c:v>1.7504</c:v>
                </c:pt>
                <c:pt idx="50">
                  <c:v>1.7501180000000001</c:v>
                </c:pt>
                <c:pt idx="51">
                  <c:v>1.749865</c:v>
                </c:pt>
                <c:pt idx="52">
                  <c:v>1.749636</c:v>
                </c:pt>
                <c:pt idx="53">
                  <c:v>1.7494289999999999</c:v>
                </c:pt>
                <c:pt idx="54">
                  <c:v>1.7492430000000001</c:v>
                </c:pt>
                <c:pt idx="55">
                  <c:v>1.7490760000000001</c:v>
                </c:pt>
              </c:numCache>
              <c:extLst xmlns:c15="http://schemas.microsoft.com/office/drawing/2012/chart"/>
            </c:numRef>
          </c:xVal>
          <c:yVal>
            <c:numRef>
              <c:f>Wykresy!$S$4:$S$102</c:f>
              <c:numCache>
                <c:formatCode>General</c:formatCode>
                <c:ptCount val="99"/>
                <c:pt idx="0">
                  <c:v>2</c:v>
                </c:pt>
                <c:pt idx="1">
                  <c:v>1.709344</c:v>
                </c:pt>
                <c:pt idx="2">
                  <c:v>1.4480660000000001</c:v>
                </c:pt>
                <c:pt idx="3">
                  <c:v>1.213212</c:v>
                </c:pt>
                <c:pt idx="4">
                  <c:v>1.0021180000000001</c:v>
                </c:pt>
                <c:pt idx="5">
                  <c:v>0.81239099999999997</c:v>
                </c:pt>
                <c:pt idx="6">
                  <c:v>0.64187499999999997</c:v>
                </c:pt>
                <c:pt idx="7">
                  <c:v>0.48863000000000001</c:v>
                </c:pt>
                <c:pt idx="8">
                  <c:v>0.35091099999999997</c:v>
                </c:pt>
                <c:pt idx="9">
                  <c:v>0.22714699999999999</c:v>
                </c:pt>
                <c:pt idx="10">
                  <c:v>0.115927</c:v>
                </c:pt>
                <c:pt idx="11">
                  <c:v>1.5979E-2</c:v>
                </c:pt>
                <c:pt idx="12">
                  <c:v>-7.3839000000000002E-2</c:v>
                </c:pt>
                <c:pt idx="13">
                  <c:v>-0.154554</c:v>
                </c:pt>
                <c:pt idx="14">
                  <c:v>-0.22709099999999999</c:v>
                </c:pt>
                <c:pt idx="15">
                  <c:v>-0.29227999999999998</c:v>
                </c:pt>
                <c:pt idx="16">
                  <c:v>-0.35086600000000001</c:v>
                </c:pt>
                <c:pt idx="17">
                  <c:v>-0.40352199999999999</c:v>
                </c:pt>
                <c:pt idx="18">
                  <c:v>-0.450849</c:v>
                </c:pt>
                <c:pt idx="19">
                  <c:v>-0.49339</c:v>
                </c:pt>
                <c:pt idx="20">
                  <c:v>-0.53163099999999996</c:v>
                </c:pt>
                <c:pt idx="21">
                  <c:v>-0.56600799999999996</c:v>
                </c:pt>
                <c:pt idx="22">
                  <c:v>-0.59691399999999994</c:v>
                </c:pt>
                <c:pt idx="23">
                  <c:v>-0.62470199999999998</c:v>
                </c:pt>
                <c:pt idx="24">
                  <c:v>-0.64968800000000004</c:v>
                </c:pt>
                <c:pt idx="25">
                  <c:v>-0.67215599999999998</c:v>
                </c:pt>
                <c:pt idx="26">
                  <c:v>-0.692361</c:v>
                </c:pt>
                <c:pt idx="27">
                  <c:v>-0.710534</c:v>
                </c:pt>
                <c:pt idx="28">
                  <c:v>-0.72687800000000002</c:v>
                </c:pt>
                <c:pt idx="29">
                  <c:v>-0.74158100000000005</c:v>
                </c:pt>
                <c:pt idx="30">
                  <c:v>-0.75480599999999998</c:v>
                </c:pt>
                <c:pt idx="31">
                  <c:v>-0.76670400000000005</c:v>
                </c:pt>
                <c:pt idx="32">
                  <c:v>-0.77740799999999999</c:v>
                </c:pt>
                <c:pt idx="33">
                  <c:v>-0.78703900000000004</c:v>
                </c:pt>
                <c:pt idx="34">
                  <c:v>-0.795705</c:v>
                </c:pt>
                <c:pt idx="35">
                  <c:v>-0.80350299999999997</c:v>
                </c:pt>
                <c:pt idx="36">
                  <c:v>-0.81052100000000005</c:v>
                </c:pt>
                <c:pt idx="37">
                  <c:v>-0.81683600000000001</c:v>
                </c:pt>
                <c:pt idx="38">
                  <c:v>-0.822519</c:v>
                </c:pt>
                <c:pt idx="39">
                  <c:v>-0.82763399999999998</c:v>
                </c:pt>
                <c:pt idx="40">
                  <c:v>-0.83223800000000003</c:v>
                </c:pt>
                <c:pt idx="41">
                  <c:v>-0.83638199999999996</c:v>
                </c:pt>
                <c:pt idx="42">
                  <c:v>-0.84011199999999997</c:v>
                </c:pt>
                <c:pt idx="43">
                  <c:v>-0.84346900000000002</c:v>
                </c:pt>
                <c:pt idx="44">
                  <c:v>-0.84649099999999999</c:v>
                </c:pt>
                <c:pt idx="45">
                  <c:v>-0.84921100000000005</c:v>
                </c:pt>
                <c:pt idx="46">
                  <c:v>-0.85165999999999997</c:v>
                </c:pt>
                <c:pt idx="47">
                  <c:v>-0.85386499999999999</c:v>
                </c:pt>
                <c:pt idx="48">
                  <c:v>-0.85585</c:v>
                </c:pt>
                <c:pt idx="49">
                  <c:v>-0.85763599999999995</c:v>
                </c:pt>
                <c:pt idx="50">
                  <c:v>-0.85924500000000004</c:v>
                </c:pt>
                <c:pt idx="51">
                  <c:v>-0.86069300000000004</c:v>
                </c:pt>
                <c:pt idx="52">
                  <c:v>-0.86199700000000001</c:v>
                </c:pt>
                <c:pt idx="53">
                  <c:v>-0.86316999999999999</c:v>
                </c:pt>
                <c:pt idx="54">
                  <c:v>-0.86422699999999997</c:v>
                </c:pt>
                <c:pt idx="55">
                  <c:v>-0.86517900000000003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8-A703-445B-AFAE-66EB29B0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SD 0.05</c:v>
                </c:tx>
                <c:xVal>
                  <c:numRef>
                    <c:extLst>
                      <c:ext uri="{02D57815-91ED-43cb-92C2-25804820EDAC}">
                        <c15:formulaRef>
                          <c15:sqref>Wykresy!$B$4:$B$63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1.5149760000000001</c:v>
                      </c:pt>
                      <c:pt idx="3">
                        <c:v>1.470599</c:v>
                      </c:pt>
                      <c:pt idx="4">
                        <c:v>1.43895</c:v>
                      </c:pt>
                      <c:pt idx="5">
                        <c:v>1.416706</c:v>
                      </c:pt>
                      <c:pt idx="6">
                        <c:v>1.4022209999999999</c:v>
                      </c:pt>
                      <c:pt idx="7">
                        <c:v>1.39463</c:v>
                      </c:pt>
                      <c:pt idx="8">
                        <c:v>1.3934770000000001</c:v>
                      </c:pt>
                      <c:pt idx="9">
                        <c:v>1.3985240000000001</c:v>
                      </c:pt>
                      <c:pt idx="10">
                        <c:v>1.4096280000000001</c:v>
                      </c:pt>
                      <c:pt idx="11">
                        <c:v>1.4266209999999999</c:v>
                      </c:pt>
                      <c:pt idx="12">
                        <c:v>1.4491860000000001</c:v>
                      </c:pt>
                      <c:pt idx="13">
                        <c:v>1.476718</c:v>
                      </c:pt>
                      <c:pt idx="14">
                        <c:v>1.5081739999999999</c:v>
                      </c:pt>
                      <c:pt idx="15">
                        <c:v>1.5419830000000001</c:v>
                      </c:pt>
                      <c:pt idx="16">
                        <c:v>1.5760879999999999</c:v>
                      </c:pt>
                      <c:pt idx="17">
                        <c:v>1.6082259999999999</c:v>
                      </c:pt>
                      <c:pt idx="18">
                        <c:v>1.6364179999999999</c:v>
                      </c:pt>
                      <c:pt idx="19">
                        <c:v>1.6594850000000001</c:v>
                      </c:pt>
                      <c:pt idx="20">
                        <c:v>1.6772769999999999</c:v>
                      </c:pt>
                      <c:pt idx="21">
                        <c:v>1.6904699999999999</c:v>
                      </c:pt>
                      <c:pt idx="22">
                        <c:v>1.7001189999999999</c:v>
                      </c:pt>
                      <c:pt idx="23">
                        <c:v>1.7072579999999999</c:v>
                      </c:pt>
                      <c:pt idx="24">
                        <c:v>1.712699</c:v>
                      </c:pt>
                      <c:pt idx="25">
                        <c:v>1.7170019999999999</c:v>
                      </c:pt>
                      <c:pt idx="26">
                        <c:v>1.720529</c:v>
                      </c:pt>
                      <c:pt idx="27">
                        <c:v>1.7235050000000001</c:v>
                      </c:pt>
                      <c:pt idx="28">
                        <c:v>1.7260679999999999</c:v>
                      </c:pt>
                      <c:pt idx="29">
                        <c:v>1.728307</c:v>
                      </c:pt>
                      <c:pt idx="30">
                        <c:v>1.7302820000000001</c:v>
                      </c:pt>
                      <c:pt idx="31">
                        <c:v>1.7320340000000001</c:v>
                      </c:pt>
                      <c:pt idx="32">
                        <c:v>1.7335940000000001</c:v>
                      </c:pt>
                      <c:pt idx="33">
                        <c:v>1.734988</c:v>
                      </c:pt>
                      <c:pt idx="34">
                        <c:v>1.7362359999999999</c:v>
                      </c:pt>
                      <c:pt idx="35">
                        <c:v>1.7373540000000001</c:v>
                      </c:pt>
                      <c:pt idx="36">
                        <c:v>1.7383580000000001</c:v>
                      </c:pt>
                      <c:pt idx="37">
                        <c:v>1.7392590000000001</c:v>
                      </c:pt>
                      <c:pt idx="38">
                        <c:v>1.74007</c:v>
                      </c:pt>
                      <c:pt idx="39">
                        <c:v>1.740799</c:v>
                      </c:pt>
                      <c:pt idx="40">
                        <c:v>1.7414559999999999</c:v>
                      </c:pt>
                      <c:pt idx="41">
                        <c:v>1.7420469999999999</c:v>
                      </c:pt>
                      <c:pt idx="42">
                        <c:v>1.74258</c:v>
                      </c:pt>
                      <c:pt idx="43">
                        <c:v>1.743061</c:v>
                      </c:pt>
                      <c:pt idx="44">
                        <c:v>1.7434940000000001</c:v>
                      </c:pt>
                      <c:pt idx="45">
                        <c:v>1.7438849999999999</c:v>
                      </c:pt>
                      <c:pt idx="46">
                        <c:v>1.744238</c:v>
                      </c:pt>
                      <c:pt idx="47">
                        <c:v>1.7445569999999999</c:v>
                      </c:pt>
                      <c:pt idx="48">
                        <c:v>1.7448440000000001</c:v>
                      </c:pt>
                      <c:pt idx="49">
                        <c:v>1.745104</c:v>
                      </c:pt>
                      <c:pt idx="50">
                        <c:v>1.745339</c:v>
                      </c:pt>
                      <c:pt idx="51">
                        <c:v>1.7455510000000001</c:v>
                      </c:pt>
                      <c:pt idx="52">
                        <c:v>1.7457419999999999</c:v>
                      </c:pt>
                      <c:pt idx="53">
                        <c:v>1.745916</c:v>
                      </c:pt>
                      <c:pt idx="54">
                        <c:v>1.7460720000000001</c:v>
                      </c:pt>
                      <c:pt idx="55">
                        <c:v>1.7462139999999999</c:v>
                      </c:pt>
                      <c:pt idx="56">
                        <c:v>1.7463409999999999</c:v>
                      </c:pt>
                      <c:pt idx="57">
                        <c:v>1.7464569999999999</c:v>
                      </c:pt>
                      <c:pt idx="58">
                        <c:v>1.7465619999999999</c:v>
                      </c:pt>
                      <c:pt idx="59">
                        <c:v>1.746656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Wykresy!$C$4:$C$63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1.4510000000000001</c:v>
                      </c:pt>
                      <c:pt idx="3">
                        <c:v>1.230151</c:v>
                      </c:pt>
                      <c:pt idx="4">
                        <c:v>1.033606</c:v>
                      </c:pt>
                      <c:pt idx="5">
                        <c:v>0.85829800000000001</c:v>
                      </c:pt>
                      <c:pt idx="6">
                        <c:v>0.70163299999999995</c:v>
                      </c:pt>
                      <c:pt idx="7">
                        <c:v>0.56135900000000005</c:v>
                      </c:pt>
                      <c:pt idx="8">
                        <c:v>0.43549100000000002</c:v>
                      </c:pt>
                      <c:pt idx="9">
                        <c:v>0.322268</c:v>
                      </c:pt>
                      <c:pt idx="10">
                        <c:v>0.22011500000000001</c:v>
                      </c:pt>
                      <c:pt idx="11">
                        <c:v>0.12762200000000001</c:v>
                      </c:pt>
                      <c:pt idx="12">
                        <c:v>4.3528999999999998E-2</c:v>
                      </c:pt>
                      <c:pt idx="13">
                        <c:v>-3.3283E-2</c:v>
                      </c:pt>
                      <c:pt idx="14">
                        <c:v>-0.10379099999999999</c:v>
                      </c:pt>
                      <c:pt idx="15">
                        <c:v>-0.16882</c:v>
                      </c:pt>
                      <c:pt idx="16">
                        <c:v>-0.22903699999999999</c:v>
                      </c:pt>
                      <c:pt idx="17">
                        <c:v>-0.28493800000000002</c:v>
                      </c:pt>
                      <c:pt idx="18">
                        <c:v>-0.33685599999999999</c:v>
                      </c:pt>
                      <c:pt idx="19">
                        <c:v>-0.38499100000000003</c:v>
                      </c:pt>
                      <c:pt idx="20">
                        <c:v>-0.42946600000000001</c:v>
                      </c:pt>
                      <c:pt idx="21">
                        <c:v>-0.470383</c:v>
                      </c:pt>
                      <c:pt idx="22">
                        <c:v>-0.50786900000000001</c:v>
                      </c:pt>
                      <c:pt idx="23">
                        <c:v>-0.54208800000000001</c:v>
                      </c:pt>
                      <c:pt idx="24">
                        <c:v>-0.57324200000000003</c:v>
                      </c:pt>
                      <c:pt idx="25">
                        <c:v>-0.601553</c:v>
                      </c:pt>
                      <c:pt idx="26">
                        <c:v>-0.627247</c:v>
                      </c:pt>
                      <c:pt idx="27">
                        <c:v>-0.65054900000000004</c:v>
                      </c:pt>
                      <c:pt idx="28">
                        <c:v>-0.67166899999999996</c:v>
                      </c:pt>
                      <c:pt idx="29">
                        <c:v>-0.69080600000000003</c:v>
                      </c:pt>
                      <c:pt idx="30">
                        <c:v>-0.70814100000000002</c:v>
                      </c:pt>
                      <c:pt idx="31">
                        <c:v>-0.72384099999999996</c:v>
                      </c:pt>
                      <c:pt idx="32">
                        <c:v>-0.73805799999999999</c:v>
                      </c:pt>
                      <c:pt idx="33">
                        <c:v>-0.75093200000000004</c:v>
                      </c:pt>
                      <c:pt idx="34">
                        <c:v>-0.76258800000000004</c:v>
                      </c:pt>
                      <c:pt idx="35">
                        <c:v>-0.77314099999999997</c:v>
                      </c:pt>
                      <c:pt idx="36">
                        <c:v>-0.78269500000000003</c:v>
                      </c:pt>
                      <c:pt idx="37">
                        <c:v>-0.79134300000000002</c:v>
                      </c:pt>
                      <c:pt idx="38">
                        <c:v>-0.79917199999999999</c:v>
                      </c:pt>
                      <c:pt idx="39">
                        <c:v>-0.80625800000000003</c:v>
                      </c:pt>
                      <c:pt idx="40">
                        <c:v>-0.81267199999999995</c:v>
                      </c:pt>
                      <c:pt idx="41">
                        <c:v>-0.81847800000000004</c:v>
                      </c:pt>
                      <c:pt idx="42">
                        <c:v>-0.82373200000000002</c:v>
                      </c:pt>
                      <c:pt idx="43">
                        <c:v>-0.828488</c:v>
                      </c:pt>
                      <c:pt idx="44">
                        <c:v>-0.83279199999999998</c:v>
                      </c:pt>
                      <c:pt idx="45">
                        <c:v>-0.83668799999999999</c:v>
                      </c:pt>
                      <c:pt idx="46">
                        <c:v>-0.84021299999999999</c:v>
                      </c:pt>
                      <c:pt idx="47">
                        <c:v>-0.84340400000000004</c:v>
                      </c:pt>
                      <c:pt idx="48">
                        <c:v>-0.84629100000000002</c:v>
                      </c:pt>
                      <c:pt idx="49">
                        <c:v>-0.84890399999999999</c:v>
                      </c:pt>
                      <c:pt idx="50">
                        <c:v>-0.85126900000000005</c:v>
                      </c:pt>
                      <c:pt idx="51">
                        <c:v>-0.85340899999999997</c:v>
                      </c:pt>
                      <c:pt idx="52">
                        <c:v>-0.85534600000000005</c:v>
                      </c:pt>
                      <c:pt idx="53">
                        <c:v>-0.85709800000000003</c:v>
                      </c:pt>
                      <c:pt idx="54">
                        <c:v>-0.858684</c:v>
                      </c:pt>
                      <c:pt idx="55">
                        <c:v>-0.86012</c:v>
                      </c:pt>
                      <c:pt idx="56">
                        <c:v>-0.86141800000000002</c:v>
                      </c:pt>
                      <c:pt idx="57">
                        <c:v>-0.86259300000000005</c:v>
                      </c:pt>
                      <c:pt idx="58">
                        <c:v>-0.86365700000000001</c:v>
                      </c:pt>
                      <c:pt idx="59">
                        <c:v>-0.86461900000000003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703-445B-AFAE-66EB29B08043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CG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Wykresy!$H$4:$H$63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1.410561</c:v>
                      </c:pt>
                      <c:pt idx="3">
                        <c:v>1.2546809999999999</c:v>
                      </c:pt>
                      <c:pt idx="4">
                        <c:v>1.124342</c:v>
                      </c:pt>
                      <c:pt idx="5">
                        <c:v>1.0117670000000001</c:v>
                      </c:pt>
                      <c:pt idx="6">
                        <c:v>0.90291600000000005</c:v>
                      </c:pt>
                      <c:pt idx="7">
                        <c:v>0.78082799999999997</c:v>
                      </c:pt>
                      <c:pt idx="8">
                        <c:v>0.62366299999999997</c:v>
                      </c:pt>
                      <c:pt idx="9">
                        <c:v>0.41953400000000002</c:v>
                      </c:pt>
                      <c:pt idx="10">
                        <c:v>0.20857700000000001</c:v>
                      </c:pt>
                      <c:pt idx="11">
                        <c:v>-1.6990999999999999E-2</c:v>
                      </c:pt>
                      <c:pt idx="12">
                        <c:v>-0.45032299999999997</c:v>
                      </c:pt>
                      <c:pt idx="13">
                        <c:v>-1.728939</c:v>
                      </c:pt>
                      <c:pt idx="14">
                        <c:v>-3.414193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Wykresy!$I$4:$I$63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1.3764179999999999</c:v>
                      </c:pt>
                      <c:pt idx="3">
                        <c:v>0.94840500000000005</c:v>
                      </c:pt>
                      <c:pt idx="4">
                        <c:v>0.54014600000000002</c:v>
                      </c:pt>
                      <c:pt idx="5">
                        <c:v>0.21272199999999999</c:v>
                      </c:pt>
                      <c:pt idx="6">
                        <c:v>-3.4669999999999999E-2</c:v>
                      </c:pt>
                      <c:pt idx="7">
                        <c:v>-0.23047500000000001</c:v>
                      </c:pt>
                      <c:pt idx="8">
                        <c:v>-0.40361799999999998</c:v>
                      </c:pt>
                      <c:pt idx="9">
                        <c:v>-0.55506100000000003</c:v>
                      </c:pt>
                      <c:pt idx="10">
                        <c:v>-0.64640299999999995</c:v>
                      </c:pt>
                      <c:pt idx="11">
                        <c:v>-0.686608</c:v>
                      </c:pt>
                      <c:pt idx="12">
                        <c:v>-0.70106000000000002</c:v>
                      </c:pt>
                      <c:pt idx="13">
                        <c:v>-0.65464299999999997</c:v>
                      </c:pt>
                      <c:pt idx="14">
                        <c:v>-0.43917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A703-445B-AFAE-66EB29B08043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SD 0.25</c:v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pPr>
                    <a:solidFill>
                      <a:schemeClr val="accent3">
                        <a:lumMod val="75000"/>
                      </a:schemeClr>
                    </a:solidFill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Wykresy!$D$4:$D$63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-0.12604699999999999</c:v>
                      </c:pt>
                      <c:pt idx="3">
                        <c:v>-7.0845000000000005E-2</c:v>
                      </c:pt>
                      <c:pt idx="4">
                        <c:v>-4.2625999999999997E-2</c:v>
                      </c:pt>
                      <c:pt idx="5">
                        <c:v>-2.5635999999999999E-2</c:v>
                      </c:pt>
                      <c:pt idx="6">
                        <c:v>-1.5459000000000001E-2</c:v>
                      </c:pt>
                      <c:pt idx="7">
                        <c:v>-9.3270000000000002E-3</c:v>
                      </c:pt>
                      <c:pt idx="8">
                        <c:v>-5.6280000000000002E-3</c:v>
                      </c:pt>
                      <c:pt idx="9">
                        <c:v>-3.3969999999999998E-3</c:v>
                      </c:pt>
                      <c:pt idx="10">
                        <c:v>-2.0500000000000002E-3</c:v>
                      </c:pt>
                      <c:pt idx="11">
                        <c:v>-1.237E-3</c:v>
                      </c:pt>
                      <c:pt idx="12">
                        <c:v>-7.4700000000000005E-4</c:v>
                      </c:pt>
                      <c:pt idx="13">
                        <c:v>-4.5100000000000001E-4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Wykresy!$E$4:$E$63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0.27500000000000002</c:v>
                      </c:pt>
                      <c:pt idx="3">
                        <c:v>0.169012</c:v>
                      </c:pt>
                      <c:pt idx="4">
                        <c:v>0.102217</c:v>
                      </c:pt>
                      <c:pt idx="5">
                        <c:v>6.1765E-2</c:v>
                      </c:pt>
                      <c:pt idx="6">
                        <c:v>3.7290999999999998E-2</c:v>
                      </c:pt>
                      <c:pt idx="7">
                        <c:v>2.2509999999999999E-2</c:v>
                      </c:pt>
                      <c:pt idx="8">
                        <c:v>1.3587E-2</c:v>
                      </c:pt>
                      <c:pt idx="9">
                        <c:v>8.201E-3</c:v>
                      </c:pt>
                      <c:pt idx="10">
                        <c:v>4.9500000000000004E-3</c:v>
                      </c:pt>
                      <c:pt idx="11">
                        <c:v>2.9870000000000001E-3</c:v>
                      </c:pt>
                      <c:pt idx="12">
                        <c:v>1.8029999999999999E-3</c:v>
                      </c:pt>
                      <c:pt idx="13">
                        <c:v>1.088E-3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A703-445B-AFAE-66EB29B08043}"/>
                  </c:ext>
                </c:extLst>
              </c15:ser>
            </c15:filteredScatterSeries>
            <c15:filteredScatterSeries>
              <c15:ser>
                <c:idx val="7"/>
                <c:order val="4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Wykresy!$J$4:$J$63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-0.14222399999999999</c:v>
                      </c:pt>
                      <c:pt idx="3">
                        <c:v>-8.0907999999999994E-2</c:v>
                      </c:pt>
                      <c:pt idx="4">
                        <c:v>-8.9560000000000004E-3</c:v>
                      </c:pt>
                      <c:pt idx="5">
                        <c:v>-4.2789999999999998E-3</c:v>
                      </c:pt>
                      <c:pt idx="6">
                        <c:v>-2.0709999999999999E-3</c:v>
                      </c:pt>
                      <c:pt idx="7">
                        <c:v>-8.0800000000000002E-4</c:v>
                      </c:pt>
                      <c:pt idx="8">
                        <c:v>-2.22E-4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Wykresy!$K$4:$K$63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0.26344499999999998</c:v>
                      </c:pt>
                      <c:pt idx="3">
                        <c:v>9.9824999999999997E-2</c:v>
                      </c:pt>
                      <c:pt idx="4">
                        <c:v>2.5961000000000001E-2</c:v>
                      </c:pt>
                      <c:pt idx="5">
                        <c:v>1.2947999999999999E-2</c:v>
                      </c:pt>
                      <c:pt idx="6">
                        <c:v>4.2979999999999997E-3</c:v>
                      </c:pt>
                      <c:pt idx="7">
                        <c:v>1.6230000000000001E-3</c:v>
                      </c:pt>
                      <c:pt idx="8">
                        <c:v>6.2299999999999996E-4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A703-445B-AFAE-66EB29B08043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SD zmienny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Wykresy!$F$4:$F$63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1.0066839999999999</c:v>
                      </c:pt>
                      <c:pt idx="3">
                        <c:v>0.82910399999999995</c:v>
                      </c:pt>
                      <c:pt idx="4">
                        <c:v>0.62784600000000002</c:v>
                      </c:pt>
                      <c:pt idx="5">
                        <c:v>0.423425</c:v>
                      </c:pt>
                      <c:pt idx="6">
                        <c:v>0.25284200000000001</c:v>
                      </c:pt>
                      <c:pt idx="7">
                        <c:v>0.13710800000000001</c:v>
                      </c:pt>
                      <c:pt idx="8">
                        <c:v>6.8718000000000001E-2</c:v>
                      </c:pt>
                      <c:pt idx="9">
                        <c:v>3.0952E-2</c:v>
                      </c:pt>
                      <c:pt idx="10">
                        <c:v>1.0886E-2</c:v>
                      </c:pt>
                      <c:pt idx="11">
                        <c:v>6.5200000000000002E-4</c:v>
                      </c:pt>
                      <c:pt idx="12">
                        <c:v>-4.2230000000000002E-3</c:v>
                      </c:pt>
                      <c:pt idx="13">
                        <c:v>-6.2300000000000003E-3</c:v>
                      </c:pt>
                      <c:pt idx="14">
                        <c:v>-6.7450000000000001E-3</c:v>
                      </c:pt>
                      <c:pt idx="15">
                        <c:v>-6.5189999999999996E-3</c:v>
                      </c:pt>
                      <c:pt idx="16">
                        <c:v>-5.96E-3</c:v>
                      </c:pt>
                      <c:pt idx="17">
                        <c:v>-5.2830000000000004E-3</c:v>
                      </c:pt>
                      <c:pt idx="18">
                        <c:v>-4.5960000000000003E-3</c:v>
                      </c:pt>
                      <c:pt idx="19">
                        <c:v>-3.9529999999999999E-3</c:v>
                      </c:pt>
                      <c:pt idx="20">
                        <c:v>-3.375E-3</c:v>
                      </c:pt>
                      <c:pt idx="21">
                        <c:v>-2.8679999999999999E-3</c:v>
                      </c:pt>
                      <c:pt idx="22">
                        <c:v>-2.4299999999999999E-3</c:v>
                      </c:pt>
                      <c:pt idx="23">
                        <c:v>-2.0539999999999998E-3</c:v>
                      </c:pt>
                      <c:pt idx="24">
                        <c:v>-1.7340000000000001E-3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Wykresy!$G$4:$G$63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1.007223</c:v>
                      </c:pt>
                      <c:pt idx="3">
                        <c:v>0.70633800000000002</c:v>
                      </c:pt>
                      <c:pt idx="4">
                        <c:v>0.483072</c:v>
                      </c:pt>
                      <c:pt idx="5">
                        <c:v>0.32432100000000003</c:v>
                      </c:pt>
                      <c:pt idx="6">
                        <c:v>0.21754999999999999</c:v>
                      </c:pt>
                      <c:pt idx="7">
                        <c:v>0.149035</c:v>
                      </c:pt>
                      <c:pt idx="8">
                        <c:v>0.105694</c:v>
                      </c:pt>
                      <c:pt idx="9">
                        <c:v>7.7797000000000005E-2</c:v>
                      </c:pt>
                      <c:pt idx="10">
                        <c:v>5.9219000000000001E-2</c:v>
                      </c:pt>
                      <c:pt idx="11">
                        <c:v>4.6338999999999998E-2</c:v>
                      </c:pt>
                      <c:pt idx="12">
                        <c:v>3.7044000000000001E-2</c:v>
                      </c:pt>
                      <c:pt idx="13">
                        <c:v>3.0086000000000002E-2</c:v>
                      </c:pt>
                      <c:pt idx="14">
                        <c:v>2.4714E-2</c:v>
                      </c:pt>
                      <c:pt idx="15">
                        <c:v>2.0462999999999999E-2</c:v>
                      </c:pt>
                      <c:pt idx="16">
                        <c:v>1.7035999999999999E-2</c:v>
                      </c:pt>
                      <c:pt idx="17">
                        <c:v>1.4236E-2</c:v>
                      </c:pt>
                      <c:pt idx="18">
                        <c:v>1.1927E-2</c:v>
                      </c:pt>
                      <c:pt idx="19">
                        <c:v>1.0009000000000001E-2</c:v>
                      </c:pt>
                      <c:pt idx="20">
                        <c:v>8.4089999999999998E-3</c:v>
                      </c:pt>
                      <c:pt idx="21">
                        <c:v>7.0699999999999999E-3</c:v>
                      </c:pt>
                      <c:pt idx="22">
                        <c:v>5.947E-3</c:v>
                      </c:pt>
                      <c:pt idx="23">
                        <c:v>5.0049999999999999E-3</c:v>
                      </c:pt>
                      <c:pt idx="24">
                        <c:v>4.2119999999999996E-3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703-445B-AFAE-66EB29B08043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Wykresy!$L$4:$L$63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1.1634150000000001</c:v>
                      </c:pt>
                      <c:pt idx="2">
                        <c:v>0.977321</c:v>
                      </c:pt>
                      <c:pt idx="3">
                        <c:v>0.52965099999999998</c:v>
                      </c:pt>
                      <c:pt idx="4">
                        <c:v>1.9008000000000001E-2</c:v>
                      </c:pt>
                      <c:pt idx="5">
                        <c:v>1.4038999999999999E-2</c:v>
                      </c:pt>
                      <c:pt idx="6">
                        <c:v>6.4796000000000006E-2</c:v>
                      </c:pt>
                      <c:pt idx="7">
                        <c:v>9.1360999999999998E-2</c:v>
                      </c:pt>
                      <c:pt idx="8">
                        <c:v>9.0559000000000001E-2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Wykresy!$M$4:$M$63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1.402439</c:v>
                      </c:pt>
                      <c:pt idx="2">
                        <c:v>0.98624999999999996</c:v>
                      </c:pt>
                      <c:pt idx="3">
                        <c:v>0.10700999999999999</c:v>
                      </c:pt>
                      <c:pt idx="4">
                        <c:v>-0.64854800000000001</c:v>
                      </c:pt>
                      <c:pt idx="5">
                        <c:v>-0.61298200000000003</c:v>
                      </c:pt>
                      <c:pt idx="6">
                        <c:v>-0.45864100000000002</c:v>
                      </c:pt>
                      <c:pt idx="7">
                        <c:v>-0.353709</c:v>
                      </c:pt>
                      <c:pt idx="8">
                        <c:v>-0.29216300000000001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A703-445B-AFAE-66EB29B08043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Granica klasyfikacji</a:t>
            </a:r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pPr>
              <a:solidFill>
                <a:schemeClr val="accent2"/>
              </a:solidFill>
            </c:spPr>
          </c:marker>
          <c:dPt>
            <c:idx val="57"/>
            <c:marker>
              <c:symbol val="diamond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4-EDEE-4524-A60E-57480FA23D45}"/>
              </c:ext>
            </c:extLst>
          </c:dPt>
          <c:xVal>
            <c:numRef>
              <c:f>Wykres!$H$14:$H$113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50</c:v>
                </c:pt>
                <c:pt idx="9">
                  <c:v>#N/A</c:v>
                </c:pt>
                <c:pt idx="10">
                  <c:v>#N/A</c:v>
                </c:pt>
                <c:pt idx="11">
                  <c:v>40</c:v>
                </c:pt>
                <c:pt idx="12">
                  <c:v>#N/A</c:v>
                </c:pt>
                <c:pt idx="13">
                  <c:v>28</c:v>
                </c:pt>
                <c:pt idx="14">
                  <c:v>#N/A</c:v>
                </c:pt>
                <c:pt idx="15">
                  <c:v>35</c:v>
                </c:pt>
                <c:pt idx="16">
                  <c:v>#N/A</c:v>
                </c:pt>
                <c:pt idx="17">
                  <c:v>29</c:v>
                </c:pt>
                <c:pt idx="18">
                  <c:v>44</c:v>
                </c:pt>
                <c:pt idx="19">
                  <c:v>#N/A</c:v>
                </c:pt>
                <c:pt idx="20">
                  <c:v>22</c:v>
                </c:pt>
                <c:pt idx="21">
                  <c:v>#N/A</c:v>
                </c:pt>
                <c:pt idx="22">
                  <c:v>#N/A</c:v>
                </c:pt>
                <c:pt idx="23">
                  <c:v>26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28</c:v>
                </c:pt>
                <c:pt idx="35">
                  <c:v>37</c:v>
                </c:pt>
                <c:pt idx="36">
                  <c:v>#N/A</c:v>
                </c:pt>
                <c:pt idx="37">
                  <c:v>26</c:v>
                </c:pt>
                <c:pt idx="38">
                  <c:v>#N/A</c:v>
                </c:pt>
                <c:pt idx="39">
                  <c:v>#N/A</c:v>
                </c:pt>
                <c:pt idx="40">
                  <c:v>23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31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33</c:v>
                </c:pt>
                <c:pt idx="53">
                  <c:v>#N/A</c:v>
                </c:pt>
                <c:pt idx="54">
                  <c:v>78</c:v>
                </c:pt>
                <c:pt idx="55">
                  <c:v>#N/A</c:v>
                </c:pt>
                <c:pt idx="56">
                  <c:v>#N/A</c:v>
                </c:pt>
                <c:pt idx="57">
                  <c:v>36</c:v>
                </c:pt>
                <c:pt idx="58">
                  <c:v>#N/A</c:v>
                </c:pt>
                <c:pt idx="59">
                  <c:v>#N/A</c:v>
                </c:pt>
                <c:pt idx="60">
                  <c:v>36</c:v>
                </c:pt>
                <c:pt idx="61">
                  <c:v>38</c:v>
                </c:pt>
                <c:pt idx="62">
                  <c:v>#N/A</c:v>
                </c:pt>
                <c:pt idx="63">
                  <c:v>97</c:v>
                </c:pt>
                <c:pt idx="64">
                  <c:v>95</c:v>
                </c:pt>
                <c:pt idx="65">
                  <c:v>54</c:v>
                </c:pt>
                <c:pt idx="66">
                  <c:v>#N/A</c:v>
                </c:pt>
                <c:pt idx="67">
                  <c:v>94</c:v>
                </c:pt>
                <c:pt idx="68">
                  <c:v>65</c:v>
                </c:pt>
                <c:pt idx="69">
                  <c:v>#N/A</c:v>
                </c:pt>
                <c:pt idx="70">
                  <c:v>#N/A</c:v>
                </c:pt>
                <c:pt idx="71">
                  <c:v>37</c:v>
                </c:pt>
                <c:pt idx="72">
                  <c:v>#N/A</c:v>
                </c:pt>
                <c:pt idx="73">
                  <c:v>31</c:v>
                </c:pt>
                <c:pt idx="74">
                  <c:v>#N/A</c:v>
                </c:pt>
                <c:pt idx="75">
                  <c:v>35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21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65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56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Wykres!$I$14:$I$113</c:f>
              <c:numCache>
                <c:formatCode>General</c:formatCode>
                <c:ptCount val="100"/>
                <c:pt idx="3">
                  <c:v>25</c:v>
                </c:pt>
                <c:pt idx="8">
                  <c:v>34</c:v>
                </c:pt>
                <c:pt idx="11">
                  <c:v>49</c:v>
                </c:pt>
                <c:pt idx="13">
                  <c:v>56</c:v>
                </c:pt>
                <c:pt idx="15">
                  <c:v>35</c:v>
                </c:pt>
                <c:pt idx="17">
                  <c:v>75</c:v>
                </c:pt>
                <c:pt idx="18">
                  <c:v>30</c:v>
                </c:pt>
                <c:pt idx="20">
                  <c:v>77</c:v>
                </c:pt>
                <c:pt idx="23">
                  <c:v>87</c:v>
                </c:pt>
                <c:pt idx="34">
                  <c:v>45</c:v>
                </c:pt>
                <c:pt idx="35">
                  <c:v>38</c:v>
                </c:pt>
                <c:pt idx="37">
                  <c:v>34</c:v>
                </c:pt>
                <c:pt idx="40">
                  <c:v>49</c:v>
                </c:pt>
                <c:pt idx="46">
                  <c:v>45</c:v>
                </c:pt>
                <c:pt idx="52">
                  <c:v>70</c:v>
                </c:pt>
                <c:pt idx="54">
                  <c:v>25</c:v>
                </c:pt>
                <c:pt idx="57">
                  <c:v>55</c:v>
                </c:pt>
                <c:pt idx="60">
                  <c:v>49</c:v>
                </c:pt>
                <c:pt idx="61">
                  <c:v>56</c:v>
                </c:pt>
                <c:pt idx="63">
                  <c:v>26</c:v>
                </c:pt>
                <c:pt idx="64">
                  <c:v>21</c:v>
                </c:pt>
                <c:pt idx="65">
                  <c:v>34</c:v>
                </c:pt>
                <c:pt idx="67">
                  <c:v>25</c:v>
                </c:pt>
                <c:pt idx="68">
                  <c:v>27</c:v>
                </c:pt>
                <c:pt idx="71">
                  <c:v>63</c:v>
                </c:pt>
                <c:pt idx="73">
                  <c:v>52</c:v>
                </c:pt>
                <c:pt idx="75">
                  <c:v>72</c:v>
                </c:pt>
                <c:pt idx="79">
                  <c:v>28</c:v>
                </c:pt>
                <c:pt idx="83">
                  <c:v>28</c:v>
                </c:pt>
                <c:pt idx="94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EE-4524-A60E-57480FA23D45}"/>
            </c:ext>
          </c:extLst>
        </c:ser>
        <c:ser>
          <c:idx val="0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Wykres!$F$14:$F$113</c:f>
              <c:numCache>
                <c:formatCode>General</c:formatCode>
                <c:ptCount val="100"/>
                <c:pt idx="0">
                  <c:v>57</c:v>
                </c:pt>
                <c:pt idx="1">
                  <c:v>86</c:v>
                </c:pt>
                <c:pt idx="2">
                  <c:v>86</c:v>
                </c:pt>
                <c:pt idx="3">
                  <c:v>#N/A</c:v>
                </c:pt>
                <c:pt idx="4">
                  <c:v>75</c:v>
                </c:pt>
                <c:pt idx="5">
                  <c:v>84</c:v>
                </c:pt>
                <c:pt idx="6">
                  <c:v>89</c:v>
                </c:pt>
                <c:pt idx="7">
                  <c:v>68</c:v>
                </c:pt>
                <c:pt idx="8">
                  <c:v>#N/A</c:v>
                </c:pt>
                <c:pt idx="9">
                  <c:v>90</c:v>
                </c:pt>
                <c:pt idx="10">
                  <c:v>53</c:v>
                </c:pt>
                <c:pt idx="11">
                  <c:v>#N/A</c:v>
                </c:pt>
                <c:pt idx="12">
                  <c:v>40</c:v>
                </c:pt>
                <c:pt idx="13">
                  <c:v>#N/A</c:v>
                </c:pt>
                <c:pt idx="14">
                  <c:v>97</c:v>
                </c:pt>
                <c:pt idx="15">
                  <c:v>#N/A</c:v>
                </c:pt>
                <c:pt idx="16">
                  <c:v>59</c:v>
                </c:pt>
                <c:pt idx="17">
                  <c:v>#N/A</c:v>
                </c:pt>
                <c:pt idx="18">
                  <c:v>#N/A</c:v>
                </c:pt>
                <c:pt idx="19">
                  <c:v>54</c:v>
                </c:pt>
                <c:pt idx="20">
                  <c:v>#N/A</c:v>
                </c:pt>
                <c:pt idx="21">
                  <c:v>53</c:v>
                </c:pt>
                <c:pt idx="22">
                  <c:v>66</c:v>
                </c:pt>
                <c:pt idx="23">
                  <c:v>#N/A</c:v>
                </c:pt>
                <c:pt idx="24">
                  <c:v>43</c:v>
                </c:pt>
                <c:pt idx="25">
                  <c:v>70</c:v>
                </c:pt>
                <c:pt idx="26">
                  <c:v>100</c:v>
                </c:pt>
                <c:pt idx="27">
                  <c:v>64</c:v>
                </c:pt>
                <c:pt idx="28">
                  <c:v>79</c:v>
                </c:pt>
                <c:pt idx="29">
                  <c:v>48</c:v>
                </c:pt>
                <c:pt idx="30">
                  <c:v>82</c:v>
                </c:pt>
                <c:pt idx="31">
                  <c:v>44</c:v>
                </c:pt>
                <c:pt idx="32">
                  <c:v>50</c:v>
                </c:pt>
                <c:pt idx="33">
                  <c:v>95</c:v>
                </c:pt>
                <c:pt idx="34">
                  <c:v>#N/A</c:v>
                </c:pt>
                <c:pt idx="35">
                  <c:v>#N/A</c:v>
                </c:pt>
                <c:pt idx="36">
                  <c:v>71</c:v>
                </c:pt>
                <c:pt idx="37">
                  <c:v>#N/A</c:v>
                </c:pt>
                <c:pt idx="38">
                  <c:v>75</c:v>
                </c:pt>
                <c:pt idx="39">
                  <c:v>35</c:v>
                </c:pt>
                <c:pt idx="40">
                  <c:v>#N/A</c:v>
                </c:pt>
                <c:pt idx="41">
                  <c:v>87</c:v>
                </c:pt>
                <c:pt idx="42">
                  <c:v>92</c:v>
                </c:pt>
                <c:pt idx="43">
                  <c:v>37</c:v>
                </c:pt>
                <c:pt idx="44">
                  <c:v>45</c:v>
                </c:pt>
                <c:pt idx="45">
                  <c:v>42</c:v>
                </c:pt>
                <c:pt idx="46">
                  <c:v>#N/A</c:v>
                </c:pt>
                <c:pt idx="47">
                  <c:v>47</c:v>
                </c:pt>
                <c:pt idx="48">
                  <c:v>68</c:v>
                </c:pt>
                <c:pt idx="49">
                  <c:v>76</c:v>
                </c:pt>
                <c:pt idx="50">
                  <c:v>86</c:v>
                </c:pt>
                <c:pt idx="51">
                  <c:v>60</c:v>
                </c:pt>
                <c:pt idx="52">
                  <c:v>#N/A</c:v>
                </c:pt>
                <c:pt idx="53">
                  <c:v>56</c:v>
                </c:pt>
                <c:pt idx="54">
                  <c:v>#N/A</c:v>
                </c:pt>
                <c:pt idx="55">
                  <c:v>51</c:v>
                </c:pt>
                <c:pt idx="56">
                  <c:v>40</c:v>
                </c:pt>
                <c:pt idx="57">
                  <c:v>#N/A</c:v>
                </c:pt>
                <c:pt idx="58">
                  <c:v>51</c:v>
                </c:pt>
                <c:pt idx="59">
                  <c:v>46</c:v>
                </c:pt>
                <c:pt idx="60">
                  <c:v>#N/A</c:v>
                </c:pt>
                <c:pt idx="61">
                  <c:v>#N/A</c:v>
                </c:pt>
                <c:pt idx="62">
                  <c:v>96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34</c:v>
                </c:pt>
                <c:pt idx="67">
                  <c:v>#N/A</c:v>
                </c:pt>
                <c:pt idx="68">
                  <c:v>#N/A</c:v>
                </c:pt>
                <c:pt idx="69">
                  <c:v>97</c:v>
                </c:pt>
                <c:pt idx="70">
                  <c:v>51</c:v>
                </c:pt>
                <c:pt idx="71">
                  <c:v>#N/A</c:v>
                </c:pt>
                <c:pt idx="72">
                  <c:v>77</c:v>
                </c:pt>
                <c:pt idx="73">
                  <c:v>#N/A</c:v>
                </c:pt>
                <c:pt idx="74">
                  <c:v>59</c:v>
                </c:pt>
                <c:pt idx="75">
                  <c:v>#N/A</c:v>
                </c:pt>
                <c:pt idx="76">
                  <c:v>81</c:v>
                </c:pt>
                <c:pt idx="77">
                  <c:v>83</c:v>
                </c:pt>
                <c:pt idx="78">
                  <c:v>77</c:v>
                </c:pt>
                <c:pt idx="79">
                  <c:v>#N/A</c:v>
                </c:pt>
                <c:pt idx="80">
                  <c:v>59</c:v>
                </c:pt>
                <c:pt idx="81">
                  <c:v>52</c:v>
                </c:pt>
                <c:pt idx="82">
                  <c:v>93</c:v>
                </c:pt>
                <c:pt idx="83">
                  <c:v>#N/A</c:v>
                </c:pt>
                <c:pt idx="84">
                  <c:v>45</c:v>
                </c:pt>
                <c:pt idx="85">
                  <c:v>78</c:v>
                </c:pt>
                <c:pt idx="86">
                  <c:v>50</c:v>
                </c:pt>
                <c:pt idx="87">
                  <c:v>91</c:v>
                </c:pt>
                <c:pt idx="88">
                  <c:v>80</c:v>
                </c:pt>
                <c:pt idx="89">
                  <c:v>93</c:v>
                </c:pt>
                <c:pt idx="90">
                  <c:v>82</c:v>
                </c:pt>
                <c:pt idx="91">
                  <c:v>98</c:v>
                </c:pt>
                <c:pt idx="92">
                  <c:v>43</c:v>
                </c:pt>
                <c:pt idx="93">
                  <c:v>38</c:v>
                </c:pt>
                <c:pt idx="94">
                  <c:v>#N/A</c:v>
                </c:pt>
                <c:pt idx="95">
                  <c:v>46</c:v>
                </c:pt>
                <c:pt idx="96">
                  <c:v>34</c:v>
                </c:pt>
                <c:pt idx="97">
                  <c:v>52</c:v>
                </c:pt>
                <c:pt idx="98">
                  <c:v>82</c:v>
                </c:pt>
                <c:pt idx="99">
                  <c:v>74</c:v>
                </c:pt>
              </c:numCache>
            </c:numRef>
          </c:xVal>
          <c:yVal>
            <c:numRef>
              <c:f>Wykres!$G$14:$G$113</c:f>
              <c:numCache>
                <c:formatCode>General</c:formatCode>
                <c:ptCount val="100"/>
                <c:pt idx="0">
                  <c:v>68</c:v>
                </c:pt>
                <c:pt idx="1">
                  <c:v>87</c:v>
                </c:pt>
                <c:pt idx="2">
                  <c:v>46</c:v>
                </c:pt>
                <c:pt idx="4">
                  <c:v>77</c:v>
                </c:pt>
                <c:pt idx="5">
                  <c:v>53</c:v>
                </c:pt>
                <c:pt idx="6">
                  <c:v>93</c:v>
                </c:pt>
                <c:pt idx="7">
                  <c:v>96</c:v>
                </c:pt>
                <c:pt idx="9">
                  <c:v>92</c:v>
                </c:pt>
                <c:pt idx="10">
                  <c:v>87</c:v>
                </c:pt>
                <c:pt idx="12">
                  <c:v>68</c:v>
                </c:pt>
                <c:pt idx="14">
                  <c:v>88</c:v>
                </c:pt>
                <c:pt idx="16">
                  <c:v>80</c:v>
                </c:pt>
                <c:pt idx="19">
                  <c:v>73</c:v>
                </c:pt>
                <c:pt idx="21">
                  <c:v>48</c:v>
                </c:pt>
                <c:pt idx="22">
                  <c:v>42</c:v>
                </c:pt>
                <c:pt idx="24">
                  <c:v>67</c:v>
                </c:pt>
                <c:pt idx="25">
                  <c:v>62</c:v>
                </c:pt>
                <c:pt idx="26">
                  <c:v>96</c:v>
                </c:pt>
                <c:pt idx="27">
                  <c:v>56</c:v>
                </c:pt>
                <c:pt idx="28">
                  <c:v>82</c:v>
                </c:pt>
                <c:pt idx="29">
                  <c:v>91</c:v>
                </c:pt>
                <c:pt idx="30">
                  <c:v>79</c:v>
                </c:pt>
                <c:pt idx="31">
                  <c:v>52</c:v>
                </c:pt>
                <c:pt idx="32">
                  <c:v>45</c:v>
                </c:pt>
                <c:pt idx="33">
                  <c:v>53</c:v>
                </c:pt>
                <c:pt idx="36">
                  <c:v>81</c:v>
                </c:pt>
                <c:pt idx="38">
                  <c:v>54</c:v>
                </c:pt>
                <c:pt idx="39">
                  <c:v>98</c:v>
                </c:pt>
                <c:pt idx="41">
                  <c:v>99</c:v>
                </c:pt>
                <c:pt idx="42">
                  <c:v>76</c:v>
                </c:pt>
                <c:pt idx="43">
                  <c:v>71</c:v>
                </c:pt>
                <c:pt idx="44">
                  <c:v>74</c:v>
                </c:pt>
                <c:pt idx="45">
                  <c:v>59</c:v>
                </c:pt>
                <c:pt idx="47">
                  <c:v>52</c:v>
                </c:pt>
                <c:pt idx="48">
                  <c:v>66</c:v>
                </c:pt>
                <c:pt idx="49">
                  <c:v>49</c:v>
                </c:pt>
                <c:pt idx="50">
                  <c:v>51</c:v>
                </c:pt>
                <c:pt idx="51">
                  <c:v>93</c:v>
                </c:pt>
                <c:pt idx="53">
                  <c:v>37</c:v>
                </c:pt>
                <c:pt idx="55">
                  <c:v>71</c:v>
                </c:pt>
                <c:pt idx="56">
                  <c:v>99</c:v>
                </c:pt>
                <c:pt idx="58">
                  <c:v>38</c:v>
                </c:pt>
                <c:pt idx="59">
                  <c:v>100</c:v>
                </c:pt>
                <c:pt idx="62">
                  <c:v>46</c:v>
                </c:pt>
                <c:pt idx="66">
                  <c:v>87</c:v>
                </c:pt>
                <c:pt idx="69">
                  <c:v>82</c:v>
                </c:pt>
                <c:pt idx="70">
                  <c:v>98</c:v>
                </c:pt>
                <c:pt idx="72">
                  <c:v>93</c:v>
                </c:pt>
                <c:pt idx="74">
                  <c:v>60</c:v>
                </c:pt>
                <c:pt idx="76">
                  <c:v>42</c:v>
                </c:pt>
                <c:pt idx="77">
                  <c:v>67</c:v>
                </c:pt>
                <c:pt idx="78">
                  <c:v>75</c:v>
                </c:pt>
                <c:pt idx="80">
                  <c:v>82</c:v>
                </c:pt>
                <c:pt idx="81">
                  <c:v>66</c:v>
                </c:pt>
                <c:pt idx="82">
                  <c:v>90</c:v>
                </c:pt>
                <c:pt idx="84">
                  <c:v>85</c:v>
                </c:pt>
                <c:pt idx="85">
                  <c:v>85</c:v>
                </c:pt>
                <c:pt idx="86">
                  <c:v>62</c:v>
                </c:pt>
                <c:pt idx="87">
                  <c:v>71</c:v>
                </c:pt>
                <c:pt idx="88">
                  <c:v>36</c:v>
                </c:pt>
                <c:pt idx="89">
                  <c:v>61</c:v>
                </c:pt>
                <c:pt idx="90">
                  <c:v>37</c:v>
                </c:pt>
                <c:pt idx="91">
                  <c:v>33</c:v>
                </c:pt>
                <c:pt idx="92">
                  <c:v>57</c:v>
                </c:pt>
                <c:pt idx="93">
                  <c:v>67</c:v>
                </c:pt>
                <c:pt idx="95">
                  <c:v>98</c:v>
                </c:pt>
                <c:pt idx="96">
                  <c:v>86</c:v>
                </c:pt>
                <c:pt idx="97">
                  <c:v>92</c:v>
                </c:pt>
                <c:pt idx="98">
                  <c:v>100</c:v>
                </c:pt>
                <c:pt idx="9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EE-4524-A60E-57480FA23D45}"/>
            </c:ext>
          </c:extLst>
        </c:ser>
        <c:ser>
          <c:idx val="2"/>
          <c:order val="2"/>
          <c:tx>
            <c:v>linia</c:v>
          </c:tx>
          <c:spPr>
            <a:ln w="28575">
              <a:noFill/>
            </a:ln>
          </c:spPr>
          <c:xVal>
            <c:numRef>
              <c:f>Wykres!$J$14:$J$113</c:f>
              <c:numCache>
                <c:formatCode>General</c:formatCode>
                <c:ptCount val="100"/>
                <c:pt idx="0">
                  <c:v>57</c:v>
                </c:pt>
                <c:pt idx="1">
                  <c:v>86</c:v>
                </c:pt>
                <c:pt idx="2">
                  <c:v>86</c:v>
                </c:pt>
                <c:pt idx="3">
                  <c:v>71</c:v>
                </c:pt>
                <c:pt idx="4">
                  <c:v>75</c:v>
                </c:pt>
                <c:pt idx="5">
                  <c:v>84</c:v>
                </c:pt>
                <c:pt idx="6">
                  <c:v>89</c:v>
                </c:pt>
                <c:pt idx="7">
                  <c:v>68</c:v>
                </c:pt>
                <c:pt idx="8">
                  <c:v>50</c:v>
                </c:pt>
                <c:pt idx="9">
                  <c:v>90</c:v>
                </c:pt>
                <c:pt idx="10">
                  <c:v>53</c:v>
                </c:pt>
                <c:pt idx="11">
                  <c:v>40</c:v>
                </c:pt>
                <c:pt idx="12">
                  <c:v>40</c:v>
                </c:pt>
                <c:pt idx="13">
                  <c:v>28</c:v>
                </c:pt>
                <c:pt idx="14">
                  <c:v>97</c:v>
                </c:pt>
                <c:pt idx="15">
                  <c:v>35</c:v>
                </c:pt>
                <c:pt idx="16">
                  <c:v>59</c:v>
                </c:pt>
                <c:pt idx="17">
                  <c:v>29</c:v>
                </c:pt>
                <c:pt idx="18">
                  <c:v>44</c:v>
                </c:pt>
                <c:pt idx="19">
                  <c:v>54</c:v>
                </c:pt>
                <c:pt idx="20">
                  <c:v>22</c:v>
                </c:pt>
                <c:pt idx="21">
                  <c:v>53</c:v>
                </c:pt>
                <c:pt idx="22">
                  <c:v>66</c:v>
                </c:pt>
                <c:pt idx="23">
                  <c:v>26</c:v>
                </c:pt>
                <c:pt idx="24">
                  <c:v>43</c:v>
                </c:pt>
                <c:pt idx="25">
                  <c:v>70</c:v>
                </c:pt>
                <c:pt idx="26">
                  <c:v>100</c:v>
                </c:pt>
                <c:pt idx="27">
                  <c:v>64</c:v>
                </c:pt>
                <c:pt idx="28">
                  <c:v>79</c:v>
                </c:pt>
                <c:pt idx="29">
                  <c:v>48</c:v>
                </c:pt>
                <c:pt idx="30">
                  <c:v>82</c:v>
                </c:pt>
                <c:pt idx="31">
                  <c:v>44</c:v>
                </c:pt>
                <c:pt idx="32">
                  <c:v>50</c:v>
                </c:pt>
                <c:pt idx="33">
                  <c:v>95</c:v>
                </c:pt>
                <c:pt idx="34">
                  <c:v>28</c:v>
                </c:pt>
                <c:pt idx="35">
                  <c:v>37</c:v>
                </c:pt>
                <c:pt idx="36">
                  <c:v>71</c:v>
                </c:pt>
                <c:pt idx="37">
                  <c:v>26</c:v>
                </c:pt>
                <c:pt idx="38">
                  <c:v>75</c:v>
                </c:pt>
                <c:pt idx="39">
                  <c:v>35</c:v>
                </c:pt>
                <c:pt idx="40">
                  <c:v>23</c:v>
                </c:pt>
                <c:pt idx="41">
                  <c:v>87</c:v>
                </c:pt>
                <c:pt idx="42">
                  <c:v>92</c:v>
                </c:pt>
                <c:pt idx="43">
                  <c:v>37</c:v>
                </c:pt>
                <c:pt idx="44">
                  <c:v>45</c:v>
                </c:pt>
                <c:pt idx="45">
                  <c:v>42</c:v>
                </c:pt>
                <c:pt idx="46">
                  <c:v>31</c:v>
                </c:pt>
                <c:pt idx="47">
                  <c:v>47</c:v>
                </c:pt>
                <c:pt idx="48">
                  <c:v>68</c:v>
                </c:pt>
                <c:pt idx="49">
                  <c:v>76</c:v>
                </c:pt>
                <c:pt idx="50">
                  <c:v>86</c:v>
                </c:pt>
                <c:pt idx="51">
                  <c:v>60</c:v>
                </c:pt>
                <c:pt idx="52">
                  <c:v>33</c:v>
                </c:pt>
                <c:pt idx="53">
                  <c:v>56</c:v>
                </c:pt>
                <c:pt idx="54">
                  <c:v>78</c:v>
                </c:pt>
                <c:pt idx="55">
                  <c:v>51</c:v>
                </c:pt>
                <c:pt idx="56">
                  <c:v>40</c:v>
                </c:pt>
                <c:pt idx="57">
                  <c:v>36</c:v>
                </c:pt>
                <c:pt idx="58">
                  <c:v>51</c:v>
                </c:pt>
                <c:pt idx="59">
                  <c:v>46</c:v>
                </c:pt>
                <c:pt idx="60">
                  <c:v>36</c:v>
                </c:pt>
                <c:pt idx="61">
                  <c:v>38</c:v>
                </c:pt>
                <c:pt idx="62">
                  <c:v>96</c:v>
                </c:pt>
                <c:pt idx="63">
                  <c:v>97</c:v>
                </c:pt>
                <c:pt idx="64">
                  <c:v>95</c:v>
                </c:pt>
                <c:pt idx="65">
                  <c:v>54</c:v>
                </c:pt>
                <c:pt idx="66">
                  <c:v>34</c:v>
                </c:pt>
                <c:pt idx="67">
                  <c:v>94</c:v>
                </c:pt>
                <c:pt idx="68">
                  <c:v>65</c:v>
                </c:pt>
                <c:pt idx="69">
                  <c:v>97</c:v>
                </c:pt>
                <c:pt idx="70">
                  <c:v>51</c:v>
                </c:pt>
                <c:pt idx="71">
                  <c:v>37</c:v>
                </c:pt>
                <c:pt idx="72">
                  <c:v>77</c:v>
                </c:pt>
                <c:pt idx="73">
                  <c:v>31</c:v>
                </c:pt>
                <c:pt idx="74">
                  <c:v>59</c:v>
                </c:pt>
                <c:pt idx="75">
                  <c:v>35</c:v>
                </c:pt>
                <c:pt idx="76">
                  <c:v>81</c:v>
                </c:pt>
                <c:pt idx="77">
                  <c:v>83</c:v>
                </c:pt>
                <c:pt idx="78">
                  <c:v>77</c:v>
                </c:pt>
                <c:pt idx="79">
                  <c:v>21</c:v>
                </c:pt>
                <c:pt idx="80">
                  <c:v>59</c:v>
                </c:pt>
                <c:pt idx="81">
                  <c:v>52</c:v>
                </c:pt>
                <c:pt idx="82">
                  <c:v>93</c:v>
                </c:pt>
                <c:pt idx="83">
                  <c:v>65</c:v>
                </c:pt>
                <c:pt idx="84">
                  <c:v>45</c:v>
                </c:pt>
                <c:pt idx="85">
                  <c:v>78</c:v>
                </c:pt>
                <c:pt idx="86">
                  <c:v>50</c:v>
                </c:pt>
                <c:pt idx="87">
                  <c:v>91</c:v>
                </c:pt>
                <c:pt idx="88">
                  <c:v>80</c:v>
                </c:pt>
                <c:pt idx="89">
                  <c:v>93</c:v>
                </c:pt>
                <c:pt idx="90">
                  <c:v>82</c:v>
                </c:pt>
                <c:pt idx="91">
                  <c:v>98</c:v>
                </c:pt>
                <c:pt idx="92">
                  <c:v>43</c:v>
                </c:pt>
                <c:pt idx="93">
                  <c:v>38</c:v>
                </c:pt>
                <c:pt idx="94">
                  <c:v>56</c:v>
                </c:pt>
                <c:pt idx="95">
                  <c:v>46</c:v>
                </c:pt>
                <c:pt idx="96">
                  <c:v>34</c:v>
                </c:pt>
                <c:pt idx="97">
                  <c:v>52</c:v>
                </c:pt>
                <c:pt idx="98">
                  <c:v>82</c:v>
                </c:pt>
                <c:pt idx="99">
                  <c:v>74</c:v>
                </c:pt>
              </c:numCache>
            </c:numRef>
          </c:xVal>
          <c:yVal>
            <c:numRef>
              <c:f>Wykres!$K$14:$K$113</c:f>
              <c:numCache>
                <c:formatCode>General</c:formatCode>
                <c:ptCount val="100"/>
                <c:pt idx="0">
                  <c:v>30.967589679043428</c:v>
                </c:pt>
                <c:pt idx="1">
                  <c:v>6.0252779525907272</c:v>
                </c:pt>
                <c:pt idx="2">
                  <c:v>6.0252779525907272</c:v>
                </c:pt>
                <c:pt idx="3">
                  <c:v>18.926473673169703</c:v>
                </c:pt>
                <c:pt idx="4">
                  <c:v>15.486154814348637</c:v>
                </c:pt>
                <c:pt idx="5">
                  <c:v>7.7454373820012563</c:v>
                </c:pt>
                <c:pt idx="6">
                  <c:v>3.4450388084749193</c:v>
                </c:pt>
                <c:pt idx="7">
                  <c:v>21.506712817285496</c:v>
                </c:pt>
                <c:pt idx="8">
                  <c:v>36.98814768198028</c:v>
                </c:pt>
                <c:pt idx="9">
                  <c:v>2.5849590937696547</c:v>
                </c:pt>
                <c:pt idx="10">
                  <c:v>34.407908537864486</c:v>
                </c:pt>
                <c:pt idx="11">
                  <c:v>45.58894482903294</c:v>
                </c:pt>
                <c:pt idx="12">
                  <c:v>45.58894482903294</c:v>
                </c:pt>
                <c:pt idx="13">
                  <c:v>55.909901405496115</c:v>
                </c:pt>
                <c:pt idx="14">
                  <c:v>-3.4355989091671972</c:v>
                </c:pt>
                <c:pt idx="15">
                  <c:v>49.889343402559263</c:v>
                </c:pt>
                <c:pt idx="16">
                  <c:v>29.247430249632892</c:v>
                </c:pt>
                <c:pt idx="17">
                  <c:v>55.049821690790857</c:v>
                </c:pt>
                <c:pt idx="18">
                  <c:v>42.148625970211874</c:v>
                </c:pt>
                <c:pt idx="19">
                  <c:v>33.547828823159222</c:v>
                </c:pt>
                <c:pt idx="20">
                  <c:v>61.070379693727716</c:v>
                </c:pt>
                <c:pt idx="21">
                  <c:v>34.407908537864486</c:v>
                </c:pt>
                <c:pt idx="22">
                  <c:v>23.226872246696033</c:v>
                </c:pt>
                <c:pt idx="23">
                  <c:v>57.630060834906651</c:v>
                </c:pt>
                <c:pt idx="24">
                  <c:v>43.008705684917139</c:v>
                </c:pt>
                <c:pt idx="25">
                  <c:v>19.786553387874967</c:v>
                </c:pt>
                <c:pt idx="26">
                  <c:v>-6.0158380532829909</c:v>
                </c:pt>
                <c:pt idx="27">
                  <c:v>24.947031676106562</c:v>
                </c:pt>
                <c:pt idx="28">
                  <c:v>12.045835955527579</c:v>
                </c:pt>
                <c:pt idx="29">
                  <c:v>38.708307111390809</c:v>
                </c:pt>
                <c:pt idx="30">
                  <c:v>9.4655968114117854</c:v>
                </c:pt>
                <c:pt idx="31">
                  <c:v>42.148625970211874</c:v>
                </c:pt>
                <c:pt idx="32">
                  <c:v>36.98814768198028</c:v>
                </c:pt>
                <c:pt idx="33">
                  <c:v>-1.7154394797566681</c:v>
                </c:pt>
                <c:pt idx="34">
                  <c:v>55.909901405496115</c:v>
                </c:pt>
                <c:pt idx="35">
                  <c:v>48.169183973148733</c:v>
                </c:pt>
                <c:pt idx="36">
                  <c:v>18.926473673169703</c:v>
                </c:pt>
                <c:pt idx="37">
                  <c:v>57.630060834906651</c:v>
                </c:pt>
                <c:pt idx="38">
                  <c:v>15.486154814348637</c:v>
                </c:pt>
                <c:pt idx="39">
                  <c:v>49.889343402559263</c:v>
                </c:pt>
                <c:pt idx="40">
                  <c:v>60.210299979022452</c:v>
                </c:pt>
                <c:pt idx="41">
                  <c:v>5.1651982378854626</c:v>
                </c:pt>
                <c:pt idx="42">
                  <c:v>0.86479966435912559</c:v>
                </c:pt>
                <c:pt idx="43">
                  <c:v>48.169183973148733</c:v>
                </c:pt>
                <c:pt idx="44">
                  <c:v>41.28854625550661</c:v>
                </c:pt>
                <c:pt idx="45">
                  <c:v>43.868785399622404</c:v>
                </c:pt>
                <c:pt idx="46">
                  <c:v>53.329662261380321</c:v>
                </c:pt>
                <c:pt idx="47">
                  <c:v>39.568386826096081</c:v>
                </c:pt>
                <c:pt idx="48">
                  <c:v>21.506712817285496</c:v>
                </c:pt>
                <c:pt idx="49">
                  <c:v>14.626075099643373</c:v>
                </c:pt>
                <c:pt idx="50">
                  <c:v>6.0252779525907272</c:v>
                </c:pt>
                <c:pt idx="51">
                  <c:v>28.387350534927627</c:v>
                </c:pt>
                <c:pt idx="52">
                  <c:v>51.609502831969792</c:v>
                </c:pt>
                <c:pt idx="53">
                  <c:v>31.827669393748685</c:v>
                </c:pt>
                <c:pt idx="54">
                  <c:v>12.905915670232844</c:v>
                </c:pt>
                <c:pt idx="55">
                  <c:v>36.128067967275015</c:v>
                </c:pt>
                <c:pt idx="56">
                  <c:v>45.58894482903294</c:v>
                </c:pt>
                <c:pt idx="57">
                  <c:v>49.029263687853998</c:v>
                </c:pt>
                <c:pt idx="58">
                  <c:v>36.128067967275015</c:v>
                </c:pt>
                <c:pt idx="59">
                  <c:v>40.428466540801345</c:v>
                </c:pt>
                <c:pt idx="60">
                  <c:v>49.029263687853998</c:v>
                </c:pt>
                <c:pt idx="61">
                  <c:v>47.309104258443462</c:v>
                </c:pt>
                <c:pt idx="62">
                  <c:v>-2.5755191944619327</c:v>
                </c:pt>
                <c:pt idx="63">
                  <c:v>-3.4355989091671972</c:v>
                </c:pt>
                <c:pt idx="64">
                  <c:v>-1.7154394797566681</c:v>
                </c:pt>
                <c:pt idx="65">
                  <c:v>33.547828823159222</c:v>
                </c:pt>
                <c:pt idx="66">
                  <c:v>50.749423117264527</c:v>
                </c:pt>
                <c:pt idx="67">
                  <c:v>-0.85535976505140354</c:v>
                </c:pt>
                <c:pt idx="68">
                  <c:v>24.086951961401297</c:v>
                </c:pt>
                <c:pt idx="69">
                  <c:v>-3.4355989091671972</c:v>
                </c:pt>
                <c:pt idx="70">
                  <c:v>36.128067967275015</c:v>
                </c:pt>
                <c:pt idx="71">
                  <c:v>48.169183973148733</c:v>
                </c:pt>
                <c:pt idx="72">
                  <c:v>13.765995384938108</c:v>
                </c:pt>
                <c:pt idx="73">
                  <c:v>53.329662261380321</c:v>
                </c:pt>
                <c:pt idx="74">
                  <c:v>29.247430249632892</c:v>
                </c:pt>
                <c:pt idx="75">
                  <c:v>49.889343402559263</c:v>
                </c:pt>
                <c:pt idx="76">
                  <c:v>10.32567652611705</c:v>
                </c:pt>
                <c:pt idx="77">
                  <c:v>8.6055170967065209</c:v>
                </c:pt>
                <c:pt idx="78">
                  <c:v>13.765995384938108</c:v>
                </c:pt>
                <c:pt idx="79">
                  <c:v>61.930459408432981</c:v>
                </c:pt>
                <c:pt idx="80">
                  <c:v>29.247430249632892</c:v>
                </c:pt>
                <c:pt idx="81">
                  <c:v>35.267988252569751</c:v>
                </c:pt>
                <c:pt idx="82">
                  <c:v>4.7199496538610219E-3</c:v>
                </c:pt>
                <c:pt idx="83">
                  <c:v>24.086951961401297</c:v>
                </c:pt>
                <c:pt idx="84">
                  <c:v>41.28854625550661</c:v>
                </c:pt>
                <c:pt idx="85">
                  <c:v>12.905915670232844</c:v>
                </c:pt>
                <c:pt idx="86">
                  <c:v>36.98814768198028</c:v>
                </c:pt>
                <c:pt idx="87">
                  <c:v>1.7248793790643902</c:v>
                </c:pt>
                <c:pt idx="88">
                  <c:v>11.185756240822315</c:v>
                </c:pt>
                <c:pt idx="89">
                  <c:v>4.7199496538610219E-3</c:v>
                </c:pt>
                <c:pt idx="90">
                  <c:v>9.4655968114117854</c:v>
                </c:pt>
                <c:pt idx="91">
                  <c:v>-4.2956786238724618</c:v>
                </c:pt>
                <c:pt idx="92">
                  <c:v>43.008705684917139</c:v>
                </c:pt>
                <c:pt idx="93">
                  <c:v>47.309104258443462</c:v>
                </c:pt>
                <c:pt idx="94">
                  <c:v>31.827669393748685</c:v>
                </c:pt>
                <c:pt idx="95">
                  <c:v>40.428466540801345</c:v>
                </c:pt>
                <c:pt idx="96">
                  <c:v>50.749423117264527</c:v>
                </c:pt>
                <c:pt idx="97">
                  <c:v>35.267988252569751</c:v>
                </c:pt>
                <c:pt idx="98">
                  <c:v>9.4655968114117854</c:v>
                </c:pt>
                <c:pt idx="99">
                  <c:v>16.346234529053909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EE-4524-A60E-57480FA23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112752"/>
        <c:axId val="1938111312"/>
      </c:scatterChart>
      <c:valAx>
        <c:axId val="1938112752"/>
        <c:scaling>
          <c:orientation val="minMax"/>
          <c:max val="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11312"/>
        <c:crosses val="autoZero"/>
        <c:crossBetween val="midCat"/>
      </c:valAx>
      <c:valAx>
        <c:axId val="1938111312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12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590550</xdr:colOff>
      <xdr:row>13</xdr:row>
      <xdr:rowOff>95250</xdr:rowOff>
    </xdr:from>
    <xdr:to>
      <xdr:col>60</xdr:col>
      <xdr:colOff>284950</xdr:colOff>
      <xdr:row>48</xdr:row>
      <xdr:rowOff>166830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1469C-5D65-DE96-7FE4-9908ED50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32650" y="2590800"/>
          <a:ext cx="6400000" cy="6739080"/>
        </a:xfrm>
        <a:prstGeom prst="rect">
          <a:avLst/>
        </a:prstGeom>
      </xdr:spPr>
    </xdr:pic>
    <xdr:clientData/>
  </xdr:twoCellAnchor>
  <xdr:twoCellAnchor>
    <xdr:from>
      <xdr:col>19</xdr:col>
      <xdr:colOff>608595</xdr:colOff>
      <xdr:row>0</xdr:row>
      <xdr:rowOff>176201</xdr:rowOff>
    </xdr:from>
    <xdr:to>
      <xdr:col>30</xdr:col>
      <xdr:colOff>45720</xdr:colOff>
      <xdr:row>28</xdr:row>
      <xdr:rowOff>148491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C135B7-5D23-9388-700D-9CADD717C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184101</xdr:colOff>
      <xdr:row>0</xdr:row>
      <xdr:rowOff>179743</xdr:rowOff>
    </xdr:from>
    <xdr:to>
      <xdr:col>40</xdr:col>
      <xdr:colOff>239684</xdr:colOff>
      <xdr:row>28</xdr:row>
      <xdr:rowOff>152032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3F318-BA49-46EC-97A4-3CDB768D8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606483</xdr:colOff>
      <xdr:row>29</xdr:row>
      <xdr:rowOff>41563</xdr:rowOff>
    </xdr:from>
    <xdr:to>
      <xdr:col>30</xdr:col>
      <xdr:colOff>45720</xdr:colOff>
      <xdr:row>57</xdr:row>
      <xdr:rowOff>41563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9383F4-823E-439B-B823-02F4EBCE7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163286</xdr:colOff>
      <xdr:row>29</xdr:row>
      <xdr:rowOff>65313</xdr:rowOff>
    </xdr:from>
    <xdr:to>
      <xdr:col>40</xdr:col>
      <xdr:colOff>210011</xdr:colOff>
      <xdr:row>57</xdr:row>
      <xdr:rowOff>65313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AC1146-3DFF-4DBD-88CD-DDB0B4891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1</xdr:row>
      <xdr:rowOff>0</xdr:rowOff>
    </xdr:from>
    <xdr:to>
      <xdr:col>51</xdr:col>
      <xdr:colOff>46725</xdr:colOff>
      <xdr:row>28</xdr:row>
      <xdr:rowOff>163286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888FD0-9111-4BB3-831C-57342ECCA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0</xdr:colOff>
      <xdr:row>30</xdr:row>
      <xdr:rowOff>0</xdr:rowOff>
    </xdr:from>
    <xdr:to>
      <xdr:col>51</xdr:col>
      <xdr:colOff>46725</xdr:colOff>
      <xdr:row>58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B56EF0-16F0-4EFE-A5C0-C340A7578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198783</xdr:colOff>
      <xdr:row>11</xdr:row>
      <xdr:rowOff>89452</xdr:rowOff>
    </xdr:from>
    <xdr:to>
      <xdr:col>19</xdr:col>
      <xdr:colOff>503583</xdr:colOff>
      <xdr:row>26</xdr:row>
      <xdr:rowOff>49696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FE0869-2FD1-AF16-16E8-A72D6E6C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5"/>
  <sheetViews>
    <sheetView topLeftCell="A169" zoomScale="55" zoomScaleNormal="55" workbookViewId="0">
      <selection activeCell="AS206" sqref="AS206"/>
    </sheetView>
  </sheetViews>
  <sheetFormatPr defaultRowHeight="14.4" x14ac:dyDescent="0.3"/>
  <cols>
    <col min="1" max="1" width="8.6640625" style="24" customWidth="1"/>
    <col min="2" max="2" width="8.6640625" customWidth="1"/>
    <col min="3" max="3" width="15.6640625" customWidth="1"/>
    <col min="4" max="4" width="15.6640625" style="51" customWidth="1"/>
    <col min="5" max="7" width="15.6640625" customWidth="1"/>
    <col min="8" max="9" width="8.6640625" customWidth="1"/>
    <col min="10" max="10" width="18.6640625" customWidth="1"/>
    <col min="11" max="13" width="15.6640625" customWidth="1"/>
    <col min="14" max="15" width="8.6640625" customWidth="1"/>
    <col min="16" max="16" width="18.6640625" customWidth="1"/>
    <col min="17" max="19" width="15.6640625" customWidth="1"/>
    <col min="20" max="22" width="8.6640625" customWidth="1"/>
    <col min="23" max="23" width="18.6640625" customWidth="1"/>
  </cols>
  <sheetData>
    <row r="1" spans="1:24" ht="30" customHeight="1" x14ac:dyDescent="0.3">
      <c r="A1" s="65" t="s">
        <v>8</v>
      </c>
      <c r="B1" s="68" t="s">
        <v>0</v>
      </c>
      <c r="C1" s="60" t="s">
        <v>1</v>
      </c>
      <c r="D1" s="58" t="s">
        <v>2</v>
      </c>
      <c r="E1" s="67" t="s">
        <v>6</v>
      </c>
      <c r="F1" s="68"/>
      <c r="G1" s="68"/>
      <c r="H1" s="68"/>
      <c r="I1" s="68"/>
      <c r="J1" s="58"/>
      <c r="K1" s="64" t="s">
        <v>7</v>
      </c>
      <c r="L1" s="64"/>
      <c r="M1" s="64"/>
      <c r="N1" s="61"/>
      <c r="O1" s="62"/>
      <c r="P1" s="62"/>
      <c r="Q1" s="60" t="s">
        <v>11</v>
      </c>
      <c r="R1" s="61"/>
      <c r="S1" s="61"/>
      <c r="T1" s="61"/>
      <c r="U1" s="61"/>
      <c r="V1" s="62"/>
      <c r="W1" s="63"/>
    </row>
    <row r="2" spans="1:24" ht="30" customHeight="1" thickBot="1" x14ac:dyDescent="0.35">
      <c r="A2" s="66"/>
      <c r="B2" s="70"/>
      <c r="C2" s="69"/>
      <c r="D2" s="59"/>
      <c r="E2" s="22" t="s">
        <v>3</v>
      </c>
      <c r="F2" s="6" t="s">
        <v>4</v>
      </c>
      <c r="G2" s="23" t="s">
        <v>5</v>
      </c>
      <c r="H2" s="23" t="s">
        <v>9</v>
      </c>
      <c r="I2" s="33" t="s">
        <v>10</v>
      </c>
      <c r="J2" s="7" t="s">
        <v>21</v>
      </c>
      <c r="K2" s="22" t="s">
        <v>3</v>
      </c>
      <c r="L2" s="6" t="s">
        <v>4</v>
      </c>
      <c r="M2" s="23" t="s">
        <v>5</v>
      </c>
      <c r="N2" s="23" t="s">
        <v>9</v>
      </c>
      <c r="O2" s="23" t="s">
        <v>10</v>
      </c>
      <c r="P2" s="7" t="s">
        <v>21</v>
      </c>
      <c r="Q2" s="27" t="s">
        <v>3</v>
      </c>
      <c r="R2" s="23" t="s">
        <v>4</v>
      </c>
      <c r="S2" s="23" t="s">
        <v>5</v>
      </c>
      <c r="T2" s="23" t="s">
        <v>9</v>
      </c>
      <c r="U2" s="23" t="s">
        <v>10</v>
      </c>
      <c r="V2" s="23" t="s">
        <v>12</v>
      </c>
      <c r="W2" s="7" t="s">
        <v>21</v>
      </c>
    </row>
    <row r="3" spans="1:24" ht="15" thickBot="1" x14ac:dyDescent="0.35">
      <c r="A3" s="53">
        <v>0.05</v>
      </c>
      <c r="B3" s="38">
        <v>1</v>
      </c>
      <c r="C3" s="21">
        <v>1.830541</v>
      </c>
      <c r="D3" s="46">
        <v>0.29906899999999997</v>
      </c>
      <c r="E3" s="19">
        <v>1.7466930000000001</v>
      </c>
      <c r="F3" s="17">
        <v>-0.86499199999999998</v>
      </c>
      <c r="G3" s="17">
        <v>0.29871300000000001</v>
      </c>
      <c r="H3" s="17">
        <v>1</v>
      </c>
      <c r="I3" s="20">
        <v>49</v>
      </c>
      <c r="J3" s="18" t="str">
        <f t="shared" ref="J3:J66" si="0">IF(ABS(G3) &lt; 0.01,"TAK","NIE")</f>
        <v>NIE</v>
      </c>
      <c r="K3" s="19">
        <v>1.7474149999999999</v>
      </c>
      <c r="L3" s="19">
        <v>-0.87194400000000005</v>
      </c>
      <c r="M3" s="19">
        <v>0.29864200000000002</v>
      </c>
      <c r="N3" s="17">
        <v>1</v>
      </c>
      <c r="O3" s="20">
        <v>55</v>
      </c>
      <c r="P3" s="18" t="str">
        <f t="shared" ref="P3:P66" si="1">IF(ABS(M3) &lt; 0.01,"TAK","NIE")</f>
        <v>NIE</v>
      </c>
      <c r="Q3" s="14">
        <v>1.7491760000000001</v>
      </c>
      <c r="R3" s="4">
        <v>-0.85553500000000005</v>
      </c>
      <c r="S3" s="4">
        <v>0.29901699999999998</v>
      </c>
      <c r="T3" s="4">
        <v>1</v>
      </c>
      <c r="U3" s="4">
        <v>81</v>
      </c>
      <c r="V3" s="11">
        <v>81</v>
      </c>
      <c r="W3" s="18" t="str">
        <f>IF(ABS(S3) &lt; 0.01,"TAK","NIE")</f>
        <v>NIE</v>
      </c>
      <c r="X3" s="18"/>
    </row>
    <row r="4" spans="1:24" ht="15" thickBot="1" x14ac:dyDescent="0.35">
      <c r="A4" s="54"/>
      <c r="B4" s="39">
        <v>2</v>
      </c>
      <c r="C4" s="15">
        <v>1.4348829999999999</v>
      </c>
      <c r="D4" s="47">
        <v>1.230764</v>
      </c>
      <c r="E4" s="9">
        <v>1.7466820000000001</v>
      </c>
      <c r="F4" s="1">
        <v>-0.86488299999999996</v>
      </c>
      <c r="G4" s="1">
        <v>0.29871399999999998</v>
      </c>
      <c r="H4" s="1">
        <v>1</v>
      </c>
      <c r="I4" s="12">
        <v>57</v>
      </c>
      <c r="J4" s="18" t="str">
        <f t="shared" si="0"/>
        <v>NIE</v>
      </c>
      <c r="K4" s="9" t="s">
        <v>23</v>
      </c>
      <c r="L4" s="9" t="s">
        <v>23</v>
      </c>
      <c r="M4" s="9" t="s">
        <v>23</v>
      </c>
      <c r="N4" s="1">
        <v>1</v>
      </c>
      <c r="O4" s="12">
        <v>43</v>
      </c>
      <c r="P4" s="18" t="e">
        <f t="shared" si="1"/>
        <v>#VALUE!</v>
      </c>
      <c r="Q4" s="15">
        <v>1.073367</v>
      </c>
      <c r="R4" s="1">
        <v>-0.51741899999999996</v>
      </c>
      <c r="S4" s="1">
        <v>0.87771500000000002</v>
      </c>
      <c r="T4" s="1">
        <v>1</v>
      </c>
      <c r="U4" s="1">
        <v>90</v>
      </c>
      <c r="V4" s="12">
        <v>90</v>
      </c>
      <c r="W4" s="18" t="str">
        <f t="shared" ref="W4:W67" si="2">IF(ABS(S4) &lt; 0.01,"TAK","NIE")</f>
        <v>NIE</v>
      </c>
    </row>
    <row r="5" spans="1:24" ht="15" thickBot="1" x14ac:dyDescent="0.35">
      <c r="A5" s="54"/>
      <c r="B5" s="39">
        <v>3</v>
      </c>
      <c r="C5" s="15">
        <v>0.95174400000000003</v>
      </c>
      <c r="D5" s="47">
        <v>1.5960030000000001</v>
      </c>
      <c r="E5" s="9">
        <v>-4.1840000000000002E-3</v>
      </c>
      <c r="F5" s="1">
        <v>1.0108000000000001E-2</v>
      </c>
      <c r="G5" s="1">
        <v>9.5000000000000005E-5</v>
      </c>
      <c r="H5" s="1">
        <v>1</v>
      </c>
      <c r="I5" s="12">
        <v>54</v>
      </c>
      <c r="J5" s="18" t="str">
        <f t="shared" si="0"/>
        <v>TAK</v>
      </c>
      <c r="K5" s="9">
        <v>4.0000000000000003E-5</v>
      </c>
      <c r="L5" s="9">
        <v>1.106E-3</v>
      </c>
      <c r="M5" s="9">
        <v>9.9999999999999995E-7</v>
      </c>
      <c r="N5" s="1">
        <v>1</v>
      </c>
      <c r="O5" s="12">
        <v>64</v>
      </c>
      <c r="P5" s="18" t="str">
        <f t="shared" si="1"/>
        <v>TAK</v>
      </c>
      <c r="Q5" s="15">
        <v>1.069593</v>
      </c>
      <c r="R5" s="1">
        <v>-0.517231</v>
      </c>
      <c r="S5" s="1">
        <v>0.877668</v>
      </c>
      <c r="T5" s="1">
        <v>1</v>
      </c>
      <c r="U5" s="1">
        <v>93</v>
      </c>
      <c r="V5" s="12">
        <v>93</v>
      </c>
      <c r="W5" s="18" t="str">
        <f t="shared" si="2"/>
        <v>NIE</v>
      </c>
    </row>
    <row r="6" spans="1:24" ht="15" thickBot="1" x14ac:dyDescent="0.35">
      <c r="A6" s="54"/>
      <c r="B6" s="39">
        <v>4</v>
      </c>
      <c r="C6" s="15">
        <v>0.176069</v>
      </c>
      <c r="D6" s="47">
        <v>0.70519699999999996</v>
      </c>
      <c r="E6" s="9">
        <v>-4.2389999999999997E-3</v>
      </c>
      <c r="F6" s="1">
        <v>1.0239E-2</v>
      </c>
      <c r="G6" s="1">
        <v>9.7E-5</v>
      </c>
      <c r="H6" s="1">
        <v>1</v>
      </c>
      <c r="I6" s="12">
        <v>48</v>
      </c>
      <c r="J6" s="18" t="str">
        <f t="shared" si="0"/>
        <v>TAK</v>
      </c>
      <c r="K6" s="9">
        <v>-2.9E-5</v>
      </c>
      <c r="L6" s="9">
        <v>1.24E-3</v>
      </c>
      <c r="M6" s="9">
        <v>1.9999999999999999E-6</v>
      </c>
      <c r="N6" s="1">
        <v>1</v>
      </c>
      <c r="O6" s="12">
        <v>58</v>
      </c>
      <c r="P6" s="18" t="str">
        <f t="shared" si="1"/>
        <v>TAK</v>
      </c>
      <c r="Q6" s="15">
        <v>4.2079999999999999E-3</v>
      </c>
      <c r="R6" s="1">
        <v>1.7642999999999999E-2</v>
      </c>
      <c r="S6" s="1">
        <v>4.2099999999999999E-4</v>
      </c>
      <c r="T6" s="1">
        <v>1</v>
      </c>
      <c r="U6" s="1">
        <v>72</v>
      </c>
      <c r="V6" s="12">
        <v>72</v>
      </c>
      <c r="W6" s="18" t="str">
        <f t="shared" si="2"/>
        <v>TAK</v>
      </c>
    </row>
    <row r="7" spans="1:24" ht="15" thickBot="1" x14ac:dyDescent="0.35">
      <c r="A7" s="54"/>
      <c r="B7" s="39">
        <v>5</v>
      </c>
      <c r="C7" s="15">
        <v>1.3367599999999999</v>
      </c>
      <c r="D7" s="47">
        <v>1.0310010000000001</v>
      </c>
      <c r="E7" s="9">
        <v>1.74671</v>
      </c>
      <c r="F7" s="1">
        <v>-0.86516400000000004</v>
      </c>
      <c r="G7" s="1">
        <v>0.29870999999999998</v>
      </c>
      <c r="H7" s="1">
        <v>1</v>
      </c>
      <c r="I7" s="12">
        <v>69</v>
      </c>
      <c r="J7" s="18" t="str">
        <f t="shared" si="0"/>
        <v>NIE</v>
      </c>
      <c r="K7" s="9" t="s">
        <v>23</v>
      </c>
      <c r="L7" s="9" t="s">
        <v>23</v>
      </c>
      <c r="M7" s="9" t="s">
        <v>23</v>
      </c>
      <c r="N7" s="1">
        <v>1</v>
      </c>
      <c r="O7" s="12">
        <v>58</v>
      </c>
      <c r="P7" s="18" t="e">
        <f t="shared" si="1"/>
        <v>#VALUE!</v>
      </c>
      <c r="Q7" s="15">
        <v>1.073375</v>
      </c>
      <c r="R7" s="1">
        <v>-0.51708799999999999</v>
      </c>
      <c r="S7" s="1">
        <v>0.87772799999999995</v>
      </c>
      <c r="T7" s="1">
        <v>1</v>
      </c>
      <c r="U7" s="1">
        <v>87</v>
      </c>
      <c r="V7" s="12">
        <v>87</v>
      </c>
      <c r="W7" s="18" t="str">
        <f t="shared" si="2"/>
        <v>NIE</v>
      </c>
    </row>
    <row r="8" spans="1:24" ht="15" thickBot="1" x14ac:dyDescent="0.35">
      <c r="A8" s="54"/>
      <c r="B8" s="39">
        <v>6</v>
      </c>
      <c r="C8" s="15">
        <v>0.728487</v>
      </c>
      <c r="D8" s="47">
        <v>5.8684E-2</v>
      </c>
      <c r="E8" s="9">
        <v>4.3449999999999999E-3</v>
      </c>
      <c r="F8" s="1">
        <v>-1.0377000000000001E-2</v>
      </c>
      <c r="G8" s="1">
        <v>1E-4</v>
      </c>
      <c r="H8" s="1">
        <v>1</v>
      </c>
      <c r="I8" s="12">
        <v>41</v>
      </c>
      <c r="J8" s="18" t="str">
        <f t="shared" si="0"/>
        <v>TAK</v>
      </c>
      <c r="K8" s="9">
        <v>-1.057E-3</v>
      </c>
      <c r="L8" s="9">
        <v>-1.44E-4</v>
      </c>
      <c r="M8" s="9">
        <v>1.9999999999999999E-6</v>
      </c>
      <c r="N8" s="1">
        <v>1</v>
      </c>
      <c r="O8" s="12">
        <v>46</v>
      </c>
      <c r="P8" s="18" t="str">
        <f t="shared" si="1"/>
        <v>TAK</v>
      </c>
      <c r="Q8" s="15">
        <v>1.062811</v>
      </c>
      <c r="R8" s="1">
        <v>-0.51847900000000002</v>
      </c>
      <c r="S8" s="1">
        <v>0.87739800000000001</v>
      </c>
      <c r="T8" s="1">
        <v>1</v>
      </c>
      <c r="U8" s="1">
        <v>68</v>
      </c>
      <c r="V8" s="12">
        <v>68</v>
      </c>
      <c r="W8" s="18" t="str">
        <f t="shared" si="2"/>
        <v>NIE</v>
      </c>
    </row>
    <row r="9" spans="1:24" ht="15" thickBot="1" x14ac:dyDescent="0.35">
      <c r="A9" s="54"/>
      <c r="B9" s="39">
        <v>7</v>
      </c>
      <c r="C9" s="15">
        <v>0.99841199999999997</v>
      </c>
      <c r="D9" s="47">
        <v>1.406785</v>
      </c>
      <c r="E9" s="9">
        <v>-4.2969999999999996E-3</v>
      </c>
      <c r="F9" s="1">
        <v>1.0396000000000001E-2</v>
      </c>
      <c r="G9" s="1">
        <v>1E-4</v>
      </c>
      <c r="H9" s="1">
        <v>1</v>
      </c>
      <c r="I9" s="12">
        <v>50</v>
      </c>
      <c r="J9" s="18" t="str">
        <f t="shared" si="0"/>
        <v>TAK</v>
      </c>
      <c r="K9" s="9">
        <v>-1.3029999999999999E-3</v>
      </c>
      <c r="L9" s="9">
        <v>2.3700000000000001E-3</v>
      </c>
      <c r="M9" s="9">
        <v>6.0000000000000002E-6</v>
      </c>
      <c r="N9" s="1">
        <v>1</v>
      </c>
      <c r="O9" s="12">
        <v>52</v>
      </c>
      <c r="P9" s="18" t="str">
        <f t="shared" si="1"/>
        <v>TAK</v>
      </c>
      <c r="Q9" s="15">
        <v>1.069885</v>
      </c>
      <c r="R9" s="1">
        <v>-0.517038</v>
      </c>
      <c r="S9" s="1">
        <v>0.87768100000000004</v>
      </c>
      <c r="T9" s="1">
        <v>1</v>
      </c>
      <c r="U9" s="1">
        <v>91</v>
      </c>
      <c r="V9" s="12">
        <v>91</v>
      </c>
      <c r="W9" s="18" t="str">
        <f t="shared" si="2"/>
        <v>NIE</v>
      </c>
    </row>
    <row r="10" spans="1:24" ht="15" thickBot="1" x14ac:dyDescent="0.35">
      <c r="A10" s="54"/>
      <c r="B10" s="39">
        <v>8</v>
      </c>
      <c r="C10" s="15">
        <v>1.8564689999999999</v>
      </c>
      <c r="D10" s="47">
        <v>1.4108620000000001</v>
      </c>
      <c r="E10" s="9">
        <v>1.746685</v>
      </c>
      <c r="F10" s="1">
        <v>-0.86490900000000004</v>
      </c>
      <c r="G10" s="1">
        <v>0.29871399999999998</v>
      </c>
      <c r="H10" s="1">
        <v>1</v>
      </c>
      <c r="I10" s="12">
        <v>56</v>
      </c>
      <c r="J10" s="18" t="str">
        <f t="shared" si="0"/>
        <v>NIE</v>
      </c>
      <c r="K10" s="9" t="s">
        <v>23</v>
      </c>
      <c r="L10" s="9" t="s">
        <v>23</v>
      </c>
      <c r="M10" s="9" t="s">
        <v>23</v>
      </c>
      <c r="N10" s="1">
        <v>1</v>
      </c>
      <c r="O10" s="12">
        <v>46</v>
      </c>
      <c r="P10" s="18" t="e">
        <f t="shared" si="1"/>
        <v>#VALUE!</v>
      </c>
      <c r="Q10" s="15">
        <v>1.748723</v>
      </c>
      <c r="R10" s="1">
        <v>-0.855522</v>
      </c>
      <c r="S10" s="1">
        <v>0.29900100000000002</v>
      </c>
      <c r="T10" s="1">
        <v>1</v>
      </c>
      <c r="U10" s="1">
        <v>94</v>
      </c>
      <c r="V10" s="12">
        <v>94</v>
      </c>
      <c r="W10" s="18" t="str">
        <f t="shared" si="2"/>
        <v>NIE</v>
      </c>
    </row>
    <row r="11" spans="1:24" ht="15" thickBot="1" x14ac:dyDescent="0.35">
      <c r="A11" s="54"/>
      <c r="B11" s="39">
        <v>9</v>
      </c>
      <c r="C11" s="15">
        <v>0.230818</v>
      </c>
      <c r="D11" s="47">
        <v>0.35619800000000001</v>
      </c>
      <c r="E11" s="9">
        <v>-4.2709999999999996E-3</v>
      </c>
      <c r="F11" s="1">
        <v>1.0402E-2</v>
      </c>
      <c r="G11" s="1">
        <v>1E-4</v>
      </c>
      <c r="H11" s="1">
        <v>1</v>
      </c>
      <c r="I11" s="12">
        <v>37</v>
      </c>
      <c r="J11" s="18" t="str">
        <f t="shared" si="0"/>
        <v>TAK</v>
      </c>
      <c r="K11" s="9">
        <v>-1.06E-3</v>
      </c>
      <c r="L11" s="9">
        <v>2.7169999999999998E-3</v>
      </c>
      <c r="M11" s="9">
        <v>6.9999999999999999E-6</v>
      </c>
      <c r="N11" s="1">
        <v>1</v>
      </c>
      <c r="O11" s="12">
        <v>46</v>
      </c>
      <c r="P11" s="18" t="str">
        <f t="shared" si="1"/>
        <v>TAK</v>
      </c>
      <c r="Q11" s="15">
        <v>9.4129999999999995E-3</v>
      </c>
      <c r="R11" s="1">
        <v>1.5934E-2</v>
      </c>
      <c r="S11" s="1">
        <v>5.8100000000000003E-4</v>
      </c>
      <c r="T11" s="1">
        <v>1</v>
      </c>
      <c r="U11" s="1">
        <v>61</v>
      </c>
      <c r="V11" s="12">
        <v>61</v>
      </c>
      <c r="W11" s="18" t="str">
        <f t="shared" si="2"/>
        <v>TAK</v>
      </c>
    </row>
    <row r="12" spans="1:24" ht="15" thickBot="1" x14ac:dyDescent="0.35">
      <c r="A12" s="54"/>
      <c r="B12" s="39">
        <v>10</v>
      </c>
      <c r="C12" s="15">
        <v>1.82403</v>
      </c>
      <c r="D12" s="47">
        <v>1.436731</v>
      </c>
      <c r="E12" s="9">
        <v>1.746672</v>
      </c>
      <c r="F12" s="1">
        <v>-0.86478100000000002</v>
      </c>
      <c r="G12" s="1">
        <v>0.29871599999999998</v>
      </c>
      <c r="H12" s="1">
        <v>1</v>
      </c>
      <c r="I12" s="12">
        <v>56</v>
      </c>
      <c r="J12" s="18" t="str">
        <f t="shared" si="0"/>
        <v>NIE</v>
      </c>
      <c r="K12" s="9" t="s">
        <v>23</v>
      </c>
      <c r="L12" s="9" t="e">
        <v>#NAME?</v>
      </c>
      <c r="M12" s="9" t="s">
        <v>23</v>
      </c>
      <c r="N12" s="1">
        <v>1</v>
      </c>
      <c r="O12" s="12">
        <v>46</v>
      </c>
      <c r="P12" s="18" t="e">
        <f t="shared" si="1"/>
        <v>#VALUE!</v>
      </c>
      <c r="Q12" s="15">
        <v>1.7483089999999999</v>
      </c>
      <c r="R12" s="1">
        <v>-0.85523700000000002</v>
      </c>
      <c r="S12" s="1">
        <v>0.29899999999999999</v>
      </c>
      <c r="T12" s="1">
        <v>1</v>
      </c>
      <c r="U12" s="1">
        <v>94</v>
      </c>
      <c r="V12" s="12">
        <v>94</v>
      </c>
      <c r="W12" s="18" t="str">
        <f t="shared" si="2"/>
        <v>NIE</v>
      </c>
    </row>
    <row r="13" spans="1:24" ht="15" thickBot="1" x14ac:dyDescent="0.35">
      <c r="A13" s="54"/>
      <c r="B13" s="39">
        <v>11</v>
      </c>
      <c r="C13" s="15">
        <v>0.97282900000000005</v>
      </c>
      <c r="D13" s="47">
        <v>0.77183800000000002</v>
      </c>
      <c r="E13" s="9">
        <v>-1.101E-3</v>
      </c>
      <c r="F13" s="1">
        <v>8.3649999999999992E-3</v>
      </c>
      <c r="G13" s="1">
        <v>6.3E-5</v>
      </c>
      <c r="H13" s="1">
        <v>1</v>
      </c>
      <c r="I13" s="12">
        <v>28</v>
      </c>
      <c r="J13" s="18" t="str">
        <f t="shared" si="0"/>
        <v>TAK</v>
      </c>
      <c r="K13" s="9">
        <v>2.3E-5</v>
      </c>
      <c r="L13" s="9">
        <v>-1.467E-3</v>
      </c>
      <c r="M13" s="9">
        <v>1.9999999999999999E-6</v>
      </c>
      <c r="N13" s="1">
        <v>1</v>
      </c>
      <c r="O13" s="12">
        <v>52</v>
      </c>
      <c r="P13" s="18" t="str">
        <f t="shared" si="1"/>
        <v>TAK</v>
      </c>
      <c r="Q13" s="15">
        <v>1.0692200000000001</v>
      </c>
      <c r="R13" s="1">
        <v>-0.51679299999999995</v>
      </c>
      <c r="S13" s="1">
        <v>0.87767499999999998</v>
      </c>
      <c r="T13" s="1">
        <v>1</v>
      </c>
      <c r="U13" s="1">
        <v>83</v>
      </c>
      <c r="V13" s="12">
        <v>83</v>
      </c>
      <c r="W13" s="18" t="str">
        <f t="shared" si="2"/>
        <v>NIE</v>
      </c>
    </row>
    <row r="14" spans="1:24" ht="15" thickBot="1" x14ac:dyDescent="0.35">
      <c r="A14" s="54"/>
      <c r="B14" s="39">
        <v>12</v>
      </c>
      <c r="C14" s="15">
        <v>0.15751699999999999</v>
      </c>
      <c r="D14" s="47">
        <v>1.400876</v>
      </c>
      <c r="E14" s="9">
        <v>-4.2950000000000002E-3</v>
      </c>
      <c r="F14" s="1">
        <v>1.0368E-2</v>
      </c>
      <c r="G14" s="1">
        <v>1E-4</v>
      </c>
      <c r="H14" s="1">
        <v>1</v>
      </c>
      <c r="I14" s="12">
        <v>57</v>
      </c>
      <c r="J14" s="18" t="str">
        <f t="shared" si="0"/>
        <v>TAK</v>
      </c>
      <c r="K14" s="9">
        <v>-2.4499999999999999E-4</v>
      </c>
      <c r="L14" s="9">
        <v>1.639E-3</v>
      </c>
      <c r="M14" s="9">
        <v>1.9999999999999999E-6</v>
      </c>
      <c r="N14" s="1">
        <v>1</v>
      </c>
      <c r="O14" s="12">
        <v>61</v>
      </c>
      <c r="P14" s="18" t="str">
        <f t="shared" si="1"/>
        <v>TAK</v>
      </c>
      <c r="Q14" s="15">
        <v>2.0509999999999999E-3</v>
      </c>
      <c r="R14" s="1">
        <v>1.8877999999999999E-2</v>
      </c>
      <c r="S14" s="1">
        <v>4.0400000000000001E-4</v>
      </c>
      <c r="T14" s="1">
        <v>1</v>
      </c>
      <c r="U14" s="1">
        <v>84</v>
      </c>
      <c r="V14" s="12">
        <v>84</v>
      </c>
      <c r="W14" s="18" t="str">
        <f t="shared" si="2"/>
        <v>TAK</v>
      </c>
    </row>
    <row r="15" spans="1:24" ht="15" thickBot="1" x14ac:dyDescent="0.35">
      <c r="A15" s="54"/>
      <c r="B15" s="39">
        <v>13</v>
      </c>
      <c r="C15" s="15">
        <v>0.719356</v>
      </c>
      <c r="D15" s="47">
        <v>1.164407</v>
      </c>
      <c r="E15" s="9">
        <v>-4.1830000000000001E-3</v>
      </c>
      <c r="F15" s="1">
        <v>1.0109E-2</v>
      </c>
      <c r="G15" s="1">
        <v>9.5000000000000005E-5</v>
      </c>
      <c r="H15" s="1">
        <v>1</v>
      </c>
      <c r="I15" s="12">
        <v>51</v>
      </c>
      <c r="J15" s="18" t="str">
        <f t="shared" si="0"/>
        <v>TAK</v>
      </c>
      <c r="K15" s="9">
        <v>6.4999999999999994E-5</v>
      </c>
      <c r="L15" s="9">
        <v>1.374E-3</v>
      </c>
      <c r="M15" s="9">
        <v>1.9999999999999999E-6</v>
      </c>
      <c r="N15" s="1">
        <v>1</v>
      </c>
      <c r="O15" s="12">
        <v>61</v>
      </c>
      <c r="P15" s="18" t="str">
        <f t="shared" si="1"/>
        <v>TAK</v>
      </c>
      <c r="Q15" s="15">
        <v>1.0677410000000001</v>
      </c>
      <c r="R15" s="1">
        <v>-0.51717199999999997</v>
      </c>
      <c r="S15" s="1">
        <v>0.87762300000000004</v>
      </c>
      <c r="T15" s="1">
        <v>1</v>
      </c>
      <c r="U15" s="1">
        <v>88</v>
      </c>
      <c r="V15" s="12">
        <v>88</v>
      </c>
      <c r="W15" s="18" t="str">
        <f t="shared" si="2"/>
        <v>NIE</v>
      </c>
    </row>
    <row r="16" spans="1:24" ht="15" thickBot="1" x14ac:dyDescent="0.35">
      <c r="A16" s="54"/>
      <c r="B16" s="39">
        <v>14</v>
      </c>
      <c r="C16" s="15">
        <v>1.417619</v>
      </c>
      <c r="D16" s="47">
        <v>0.98076700000000006</v>
      </c>
      <c r="E16" s="9">
        <v>1.7466630000000001</v>
      </c>
      <c r="F16" s="1">
        <v>-0.86469200000000002</v>
      </c>
      <c r="G16" s="1">
        <v>0.29871799999999998</v>
      </c>
      <c r="H16" s="1">
        <v>1</v>
      </c>
      <c r="I16" s="12">
        <v>55</v>
      </c>
      <c r="J16" s="18" t="str">
        <f t="shared" si="0"/>
        <v>NIE</v>
      </c>
      <c r="K16" s="9">
        <v>1.7475970000000001</v>
      </c>
      <c r="L16" s="9">
        <v>-0.87573900000000005</v>
      </c>
      <c r="M16" s="9">
        <v>0.29864200000000002</v>
      </c>
      <c r="N16" s="1">
        <v>1</v>
      </c>
      <c r="O16" s="12">
        <v>64</v>
      </c>
      <c r="P16" s="18" t="str">
        <f t="shared" si="1"/>
        <v>NIE</v>
      </c>
      <c r="Q16" s="15">
        <v>1.073812</v>
      </c>
      <c r="R16" s="1">
        <v>-0.51741999999999999</v>
      </c>
      <c r="S16" s="1">
        <v>0.877718</v>
      </c>
      <c r="T16" s="1">
        <v>1</v>
      </c>
      <c r="U16" s="1">
        <v>87</v>
      </c>
      <c r="V16" s="12">
        <v>87</v>
      </c>
      <c r="W16" s="18" t="str">
        <f t="shared" si="2"/>
        <v>NIE</v>
      </c>
    </row>
    <row r="17" spans="1:23" ht="15" thickBot="1" x14ac:dyDescent="0.35">
      <c r="A17" s="54"/>
      <c r="B17" s="39">
        <v>15</v>
      </c>
      <c r="C17" s="15">
        <v>0.709673</v>
      </c>
      <c r="D17" s="47">
        <v>1.3756200000000001</v>
      </c>
      <c r="E17" s="9">
        <v>-4.1799999999999997E-3</v>
      </c>
      <c r="F17" s="1">
        <v>1.0095E-2</v>
      </c>
      <c r="G17" s="1">
        <v>9.5000000000000005E-5</v>
      </c>
      <c r="H17" s="1">
        <v>1</v>
      </c>
      <c r="I17" s="12">
        <v>54</v>
      </c>
      <c r="J17" s="18" t="str">
        <f t="shared" si="0"/>
        <v>TAK</v>
      </c>
      <c r="K17" s="9">
        <v>6.7999999999999999E-5</v>
      </c>
      <c r="L17" s="9">
        <v>1.583E-3</v>
      </c>
      <c r="M17" s="9">
        <v>3.0000000000000001E-6</v>
      </c>
      <c r="N17" s="1">
        <v>1</v>
      </c>
      <c r="O17" s="12">
        <v>61</v>
      </c>
      <c r="P17" s="18" t="str">
        <f t="shared" si="1"/>
        <v>TAK</v>
      </c>
      <c r="Q17" s="15">
        <v>1.067985</v>
      </c>
      <c r="R17" s="1">
        <v>-0.51688100000000003</v>
      </c>
      <c r="S17" s="1">
        <v>0.87763999999999998</v>
      </c>
      <c r="T17" s="1">
        <v>1</v>
      </c>
      <c r="U17" s="1">
        <v>90</v>
      </c>
      <c r="V17" s="12">
        <v>90</v>
      </c>
      <c r="W17" s="18" t="str">
        <f t="shared" si="2"/>
        <v>NIE</v>
      </c>
    </row>
    <row r="18" spans="1:23" ht="15" thickBot="1" x14ac:dyDescent="0.35">
      <c r="A18" s="54"/>
      <c r="B18" s="39">
        <v>16</v>
      </c>
      <c r="C18" s="15">
        <v>9.4198000000000004E-2</v>
      </c>
      <c r="D18" s="47">
        <v>1.6593960000000001</v>
      </c>
      <c r="E18" s="9">
        <v>-4.0949999999999997E-3</v>
      </c>
      <c r="F18" s="1">
        <v>9.8849999999999997E-3</v>
      </c>
      <c r="G18" s="1">
        <v>9.1000000000000003E-5</v>
      </c>
      <c r="H18" s="1">
        <v>1</v>
      </c>
      <c r="I18" s="12">
        <v>60</v>
      </c>
      <c r="J18" s="18" t="str">
        <f t="shared" si="0"/>
        <v>TAK</v>
      </c>
      <c r="K18" s="9">
        <v>-2.2900000000000001E-4</v>
      </c>
      <c r="L18" s="9">
        <v>1.8339999999999999E-3</v>
      </c>
      <c r="M18" s="9">
        <v>3.0000000000000001E-6</v>
      </c>
      <c r="N18" s="1">
        <v>1</v>
      </c>
      <c r="O18" s="12">
        <v>61</v>
      </c>
      <c r="P18" s="18" t="str">
        <f t="shared" si="1"/>
        <v>TAK</v>
      </c>
      <c r="Q18" s="15">
        <v>1.0200000000000001E-3</v>
      </c>
      <c r="R18" s="1">
        <v>1.8186999999999998E-2</v>
      </c>
      <c r="S18" s="1">
        <v>3.5100000000000002E-4</v>
      </c>
      <c r="T18" s="1">
        <v>1</v>
      </c>
      <c r="U18" s="1">
        <v>88</v>
      </c>
      <c r="V18" s="12">
        <v>88</v>
      </c>
      <c r="W18" s="18" t="str">
        <f t="shared" si="2"/>
        <v>TAK</v>
      </c>
    </row>
    <row r="19" spans="1:23" ht="15" thickBot="1" x14ac:dyDescent="0.35">
      <c r="A19" s="54"/>
      <c r="B19" s="39">
        <v>17</v>
      </c>
      <c r="C19" s="15">
        <v>1.439587</v>
      </c>
      <c r="D19" s="47">
        <v>1.4121030000000001</v>
      </c>
      <c r="E19" s="9">
        <v>1.746661</v>
      </c>
      <c r="F19" s="1">
        <v>-0.86467300000000002</v>
      </c>
      <c r="G19" s="1">
        <v>0.29871799999999998</v>
      </c>
      <c r="H19" s="1">
        <v>1</v>
      </c>
      <c r="I19" s="12">
        <v>59</v>
      </c>
      <c r="J19" s="18" t="str">
        <f t="shared" si="0"/>
        <v>NIE</v>
      </c>
      <c r="K19" s="9" t="s">
        <v>23</v>
      </c>
      <c r="L19" s="9" t="s">
        <v>23</v>
      </c>
      <c r="M19" s="9" t="s">
        <v>23</v>
      </c>
      <c r="N19" s="1">
        <v>1</v>
      </c>
      <c r="O19" s="12">
        <v>46</v>
      </c>
      <c r="P19" s="18" t="e">
        <f t="shared" si="1"/>
        <v>#VALUE!</v>
      </c>
      <c r="Q19" s="15">
        <v>1.073223</v>
      </c>
      <c r="R19" s="1">
        <v>-0.51658499999999996</v>
      </c>
      <c r="S19" s="1">
        <v>0.87774700000000005</v>
      </c>
      <c r="T19" s="1">
        <v>1</v>
      </c>
      <c r="U19" s="1">
        <v>91</v>
      </c>
      <c r="V19" s="12">
        <v>91</v>
      </c>
      <c r="W19" s="18" t="str">
        <f t="shared" si="2"/>
        <v>NIE</v>
      </c>
    </row>
    <row r="20" spans="1:23" ht="15" thickBot="1" x14ac:dyDescent="0.35">
      <c r="A20" s="54"/>
      <c r="B20" s="39">
        <v>18</v>
      </c>
      <c r="C20" s="15">
        <v>1.5514220000000001</v>
      </c>
      <c r="D20" s="47">
        <v>1.5972420000000001</v>
      </c>
      <c r="E20" s="9">
        <v>1.7466919999999999</v>
      </c>
      <c r="F20" s="1">
        <v>-0.86498399999999998</v>
      </c>
      <c r="G20" s="1">
        <v>0.29871300000000001</v>
      </c>
      <c r="H20" s="1">
        <v>1</v>
      </c>
      <c r="I20" s="12">
        <v>58</v>
      </c>
      <c r="J20" s="18" t="str">
        <f t="shared" si="0"/>
        <v>NIE</v>
      </c>
      <c r="K20" s="9" t="s">
        <v>23</v>
      </c>
      <c r="L20" s="9" t="s">
        <v>23</v>
      </c>
      <c r="M20" s="9" t="s">
        <v>23</v>
      </c>
      <c r="N20" s="1">
        <v>1</v>
      </c>
      <c r="O20" s="12">
        <v>46</v>
      </c>
      <c r="P20" s="18" t="e">
        <f t="shared" si="1"/>
        <v>#VALUE!</v>
      </c>
      <c r="Q20" s="15">
        <v>1.746759</v>
      </c>
      <c r="R20" s="1">
        <v>-0.85522299999999996</v>
      </c>
      <c r="S20" s="1">
        <v>0.29897200000000002</v>
      </c>
      <c r="T20" s="1">
        <v>1</v>
      </c>
      <c r="U20" s="1">
        <v>95</v>
      </c>
      <c r="V20" s="12">
        <v>95</v>
      </c>
      <c r="W20" s="18" t="str">
        <f t="shared" si="2"/>
        <v>NIE</v>
      </c>
    </row>
    <row r="21" spans="1:23" ht="15" thickBot="1" x14ac:dyDescent="0.35">
      <c r="A21" s="54"/>
      <c r="B21" s="39">
        <v>19</v>
      </c>
      <c r="C21" s="15">
        <v>0.82940199999999997</v>
      </c>
      <c r="D21" s="47">
        <v>0.15731700000000001</v>
      </c>
      <c r="E21" s="9">
        <v>4.169E-3</v>
      </c>
      <c r="F21" s="1">
        <v>-9.9410000000000002E-3</v>
      </c>
      <c r="G21" s="1">
        <v>9.2E-5</v>
      </c>
      <c r="H21" s="1">
        <v>1</v>
      </c>
      <c r="I21" s="12">
        <v>42</v>
      </c>
      <c r="J21" s="18" t="str">
        <f t="shared" si="0"/>
        <v>TAK</v>
      </c>
      <c r="K21" s="9">
        <v>3.3E-4</v>
      </c>
      <c r="L21" s="9">
        <v>7.8600000000000002E-4</v>
      </c>
      <c r="M21" s="9">
        <v>9.9999999999999995E-7</v>
      </c>
      <c r="N21" s="1">
        <v>1</v>
      </c>
      <c r="O21" s="12">
        <v>64</v>
      </c>
      <c r="P21" s="18" t="str">
        <f t="shared" si="1"/>
        <v>TAK</v>
      </c>
      <c r="Q21" s="15">
        <v>1.06521</v>
      </c>
      <c r="R21" s="1">
        <v>-0.51761599999999997</v>
      </c>
      <c r="S21" s="1">
        <v>0.87752399999999997</v>
      </c>
      <c r="T21" s="1">
        <v>1</v>
      </c>
      <c r="U21" s="1">
        <v>71</v>
      </c>
      <c r="V21" s="12">
        <v>71</v>
      </c>
      <c r="W21" s="18" t="str">
        <f t="shared" si="2"/>
        <v>NIE</v>
      </c>
    </row>
    <row r="22" spans="1:23" ht="15" thickBot="1" x14ac:dyDescent="0.35">
      <c r="A22" s="54"/>
      <c r="B22" s="39">
        <v>20</v>
      </c>
      <c r="C22" s="15">
        <v>1.5181819999999999</v>
      </c>
      <c r="D22" s="47">
        <v>1.5007649999999999</v>
      </c>
      <c r="E22" s="9">
        <v>1.746626</v>
      </c>
      <c r="F22" s="1">
        <v>-0.864317</v>
      </c>
      <c r="G22" s="1">
        <v>0.29872399999999999</v>
      </c>
      <c r="H22" s="1">
        <v>1</v>
      </c>
      <c r="I22" s="12">
        <v>57</v>
      </c>
      <c r="J22" s="18" t="str">
        <f t="shared" si="0"/>
        <v>NIE</v>
      </c>
      <c r="K22" s="9" t="s">
        <v>23</v>
      </c>
      <c r="L22" s="9" t="e">
        <v>#NAME?</v>
      </c>
      <c r="M22" s="9" t="s">
        <v>23</v>
      </c>
      <c r="N22" s="1">
        <v>1</v>
      </c>
      <c r="O22" s="12">
        <v>43</v>
      </c>
      <c r="P22" s="18" t="e">
        <f t="shared" si="1"/>
        <v>#VALUE!</v>
      </c>
      <c r="Q22" s="15">
        <v>1.7467200000000001</v>
      </c>
      <c r="R22" s="1">
        <v>-0.855159</v>
      </c>
      <c r="S22" s="1">
        <v>0.29897400000000002</v>
      </c>
      <c r="T22" s="1">
        <v>1</v>
      </c>
      <c r="U22" s="1">
        <v>94</v>
      </c>
      <c r="V22" s="12">
        <v>94</v>
      </c>
      <c r="W22" s="18" t="str">
        <f t="shared" si="2"/>
        <v>NIE</v>
      </c>
    </row>
    <row r="23" spans="1:23" ht="15" thickBot="1" x14ac:dyDescent="0.35">
      <c r="A23" s="54"/>
      <c r="B23" s="39">
        <v>21</v>
      </c>
      <c r="C23" s="15">
        <v>0.15355199999999999</v>
      </c>
      <c r="D23" s="47">
        <v>1.953646</v>
      </c>
      <c r="E23" s="9">
        <v>-4.4190000000000002E-3</v>
      </c>
      <c r="F23" s="1">
        <v>1.0666999999999999E-2</v>
      </c>
      <c r="G23" s="1">
        <v>1.06E-4</v>
      </c>
      <c r="H23" s="1">
        <v>1</v>
      </c>
      <c r="I23" s="12">
        <v>61</v>
      </c>
      <c r="J23" s="18" t="str">
        <f t="shared" si="0"/>
        <v>TAK</v>
      </c>
      <c r="K23" s="9">
        <v>-1.18E-4</v>
      </c>
      <c r="L23" s="9">
        <v>1.2899999999999999E-3</v>
      </c>
      <c r="M23" s="9">
        <v>1.9999999999999999E-6</v>
      </c>
      <c r="N23" s="1">
        <v>1</v>
      </c>
      <c r="O23" s="12">
        <v>64</v>
      </c>
      <c r="P23" s="18" t="str">
        <f t="shared" si="1"/>
        <v>TAK</v>
      </c>
      <c r="Q23" s="15">
        <v>1.3990000000000001E-3</v>
      </c>
      <c r="R23" s="1">
        <v>1.8374000000000001E-2</v>
      </c>
      <c r="S23" s="1">
        <v>3.6699999999999998E-4</v>
      </c>
      <c r="T23" s="1">
        <v>1</v>
      </c>
      <c r="U23" s="1">
        <v>91</v>
      </c>
      <c r="V23" s="12">
        <v>91</v>
      </c>
      <c r="W23" s="18" t="str">
        <f t="shared" si="2"/>
        <v>TAK</v>
      </c>
    </row>
    <row r="24" spans="1:23" ht="15" thickBot="1" x14ac:dyDescent="0.35">
      <c r="A24" s="54"/>
      <c r="B24" s="39">
        <v>22</v>
      </c>
      <c r="C24" s="15">
        <v>1.6453660000000001</v>
      </c>
      <c r="D24" s="47">
        <v>1.8367720000000001</v>
      </c>
      <c r="E24" s="9">
        <v>1.746713</v>
      </c>
      <c r="F24" s="1">
        <v>-0.86519599999999997</v>
      </c>
      <c r="G24" s="1">
        <v>0.298709</v>
      </c>
      <c r="H24" s="1">
        <v>1</v>
      </c>
      <c r="I24" s="12">
        <v>59</v>
      </c>
      <c r="J24" s="18" t="str">
        <f t="shared" si="0"/>
        <v>NIE</v>
      </c>
      <c r="K24" s="9" t="s">
        <v>23</v>
      </c>
      <c r="L24" s="9" t="e">
        <v>#NAME?</v>
      </c>
      <c r="M24" s="9" t="s">
        <v>23</v>
      </c>
      <c r="N24" s="1">
        <v>1</v>
      </c>
      <c r="O24" s="12">
        <v>46</v>
      </c>
      <c r="P24" s="18" t="e">
        <f t="shared" si="1"/>
        <v>#VALUE!</v>
      </c>
      <c r="Q24" s="15">
        <v>1.7470330000000001</v>
      </c>
      <c r="R24" s="1">
        <v>-0.85515200000000002</v>
      </c>
      <c r="S24" s="1">
        <v>0.29897699999999999</v>
      </c>
      <c r="T24" s="1">
        <v>1</v>
      </c>
      <c r="U24" s="1">
        <v>97</v>
      </c>
      <c r="V24" s="12">
        <v>97</v>
      </c>
      <c r="W24" s="18" t="str">
        <f t="shared" si="2"/>
        <v>NIE</v>
      </c>
    </row>
    <row r="25" spans="1:23" ht="15" thickBot="1" x14ac:dyDescent="0.35">
      <c r="A25" s="54"/>
      <c r="B25" s="39">
        <v>23</v>
      </c>
      <c r="C25" s="15">
        <v>0.115956</v>
      </c>
      <c r="D25" s="47">
        <v>9.4618999999999995E-2</v>
      </c>
      <c r="E25" s="9">
        <v>-2.2049999999999999E-3</v>
      </c>
      <c r="F25" s="1">
        <v>9.5560000000000003E-3</v>
      </c>
      <c r="G25" s="1">
        <v>8.0000000000000007E-5</v>
      </c>
      <c r="H25" s="1">
        <v>1</v>
      </c>
      <c r="I25" s="12">
        <v>18</v>
      </c>
      <c r="J25" s="18" t="str">
        <f t="shared" si="0"/>
        <v>TAK</v>
      </c>
      <c r="K25" s="9">
        <v>-8.4900000000000004E-4</v>
      </c>
      <c r="L25" s="9">
        <v>6.6699999999999995E-4</v>
      </c>
      <c r="M25" s="9">
        <v>9.9999999999999995E-7</v>
      </c>
      <c r="N25" s="1">
        <v>1</v>
      </c>
      <c r="O25" s="12">
        <v>40</v>
      </c>
      <c r="P25" s="18" t="str">
        <f t="shared" si="1"/>
        <v>TAK</v>
      </c>
      <c r="Q25" s="15">
        <v>1.3913999999999999E-2</v>
      </c>
      <c r="R25" s="1">
        <v>1.1672999999999999E-2</v>
      </c>
      <c r="S25" s="1">
        <v>6.8599999999999998E-4</v>
      </c>
      <c r="T25" s="1">
        <v>1</v>
      </c>
      <c r="U25" s="1">
        <v>41</v>
      </c>
      <c r="V25" s="12">
        <v>41</v>
      </c>
      <c r="W25" s="18" t="str">
        <f t="shared" si="2"/>
        <v>TAK</v>
      </c>
    </row>
    <row r="26" spans="1:23" ht="15" thickBot="1" x14ac:dyDescent="0.35">
      <c r="A26" s="54"/>
      <c r="B26" s="39">
        <v>24</v>
      </c>
      <c r="C26" s="15">
        <v>1.6238030000000001</v>
      </c>
      <c r="D26" s="47">
        <v>0.27005800000000002</v>
      </c>
      <c r="E26" s="9">
        <v>1.7466919999999999</v>
      </c>
      <c r="F26" s="1">
        <v>-0.86498600000000003</v>
      </c>
      <c r="G26" s="1">
        <v>0.29871300000000001</v>
      </c>
      <c r="H26" s="1">
        <v>1</v>
      </c>
      <c r="I26" s="12">
        <v>49</v>
      </c>
      <c r="J26" s="18" t="str">
        <f t="shared" si="0"/>
        <v>NIE</v>
      </c>
      <c r="K26" s="9">
        <v>1.7472650000000001</v>
      </c>
      <c r="L26" s="9">
        <v>-0.871923</v>
      </c>
      <c r="M26" s="9">
        <v>0.29864200000000002</v>
      </c>
      <c r="N26" s="1">
        <v>1</v>
      </c>
      <c r="O26" s="12">
        <v>55</v>
      </c>
      <c r="P26" s="18" t="str">
        <f t="shared" si="1"/>
        <v>NIE</v>
      </c>
      <c r="Q26" s="15">
        <v>1.7461469999999999</v>
      </c>
      <c r="R26" s="1">
        <v>-0.85520499999999999</v>
      </c>
      <c r="S26" s="1">
        <v>0.29896899999999998</v>
      </c>
      <c r="T26" s="1">
        <v>1</v>
      </c>
      <c r="U26" s="1">
        <v>80</v>
      </c>
      <c r="V26" s="12">
        <v>80</v>
      </c>
      <c r="W26" s="18" t="str">
        <f t="shared" si="2"/>
        <v>NIE</v>
      </c>
    </row>
    <row r="27" spans="1:23" ht="15" thickBot="1" x14ac:dyDescent="0.35">
      <c r="A27" s="54"/>
      <c r="B27" s="39">
        <v>25</v>
      </c>
      <c r="C27" s="15">
        <v>1.040054</v>
      </c>
      <c r="D27" s="47">
        <v>1.5319320000000001</v>
      </c>
      <c r="E27" s="9">
        <v>-4.3340000000000002E-3</v>
      </c>
      <c r="F27" s="1">
        <v>1.0481000000000001E-2</v>
      </c>
      <c r="G27" s="1">
        <v>1.02E-4</v>
      </c>
      <c r="H27" s="1">
        <v>1</v>
      </c>
      <c r="I27" s="12">
        <v>51</v>
      </c>
      <c r="J27" s="18" t="str">
        <f t="shared" si="0"/>
        <v>TAK</v>
      </c>
      <c r="K27" s="9">
        <v>-1.374E-3</v>
      </c>
      <c r="L27" s="9">
        <v>2.297E-3</v>
      </c>
      <c r="M27" s="9">
        <v>6.0000000000000002E-6</v>
      </c>
      <c r="N27" s="1">
        <v>1</v>
      </c>
      <c r="O27" s="12">
        <v>52</v>
      </c>
      <c r="P27" s="18" t="str">
        <f t="shared" si="1"/>
        <v>TAK</v>
      </c>
      <c r="Q27" s="15">
        <v>1.070273</v>
      </c>
      <c r="R27" s="1">
        <v>-0.51682399999999995</v>
      </c>
      <c r="S27" s="1">
        <v>0.87769699999999995</v>
      </c>
      <c r="T27" s="1">
        <v>1</v>
      </c>
      <c r="U27" s="1">
        <v>92</v>
      </c>
      <c r="V27" s="12">
        <v>92</v>
      </c>
      <c r="W27" s="18" t="str">
        <f t="shared" si="2"/>
        <v>NIE</v>
      </c>
    </row>
    <row r="28" spans="1:23" ht="15" thickBot="1" x14ac:dyDescent="0.35">
      <c r="A28" s="54"/>
      <c r="B28" s="39">
        <v>26</v>
      </c>
      <c r="C28" s="15">
        <v>0.45481300000000002</v>
      </c>
      <c r="D28" s="47">
        <v>1.360636</v>
      </c>
      <c r="E28" s="9">
        <v>-4.3779999999999999E-3</v>
      </c>
      <c r="F28" s="1">
        <v>1.057E-2</v>
      </c>
      <c r="G28" s="1">
        <v>1.0399999999999999E-4</v>
      </c>
      <c r="H28" s="1">
        <v>1</v>
      </c>
      <c r="I28" s="12">
        <v>55</v>
      </c>
      <c r="J28" s="18" t="str">
        <f t="shared" si="0"/>
        <v>TAK</v>
      </c>
      <c r="K28" s="9">
        <v>-1.1E-5</v>
      </c>
      <c r="L28" s="9">
        <v>1.537E-3</v>
      </c>
      <c r="M28" s="9">
        <v>1.9999999999999999E-6</v>
      </c>
      <c r="N28" s="1">
        <v>1</v>
      </c>
      <c r="O28" s="12">
        <v>61</v>
      </c>
      <c r="P28" s="18" t="str">
        <f t="shared" si="1"/>
        <v>TAK</v>
      </c>
      <c r="Q28" s="15">
        <v>4.2929999999999999E-3</v>
      </c>
      <c r="R28" s="1">
        <v>1.8147E-2</v>
      </c>
      <c r="S28" s="1">
        <v>4.44E-4</v>
      </c>
      <c r="T28" s="1">
        <v>1</v>
      </c>
      <c r="U28" s="1">
        <v>85</v>
      </c>
      <c r="V28" s="12">
        <v>85</v>
      </c>
      <c r="W28" s="18" t="str">
        <f t="shared" si="2"/>
        <v>TAK</v>
      </c>
    </row>
    <row r="29" spans="1:23" ht="15" thickBot="1" x14ac:dyDescent="0.35">
      <c r="A29" s="54"/>
      <c r="B29" s="39">
        <v>27</v>
      </c>
      <c r="C29" s="15">
        <v>0.44938699999999998</v>
      </c>
      <c r="D29" s="47">
        <v>1.1108800000000001</v>
      </c>
      <c r="E29" s="9">
        <v>-4.4010000000000004E-3</v>
      </c>
      <c r="F29" s="1">
        <v>1.0629E-2</v>
      </c>
      <c r="G29" s="1">
        <v>1.05E-4</v>
      </c>
      <c r="H29" s="1">
        <v>1</v>
      </c>
      <c r="I29" s="12">
        <v>52</v>
      </c>
      <c r="J29" s="18" t="str">
        <f t="shared" si="0"/>
        <v>TAK</v>
      </c>
      <c r="K29" s="9">
        <v>-9.9999999999999995E-7</v>
      </c>
      <c r="L29" s="9">
        <v>1.289E-3</v>
      </c>
      <c r="M29" s="9">
        <v>1.9999999999999999E-6</v>
      </c>
      <c r="N29" s="1">
        <v>1</v>
      </c>
      <c r="O29" s="12">
        <v>61</v>
      </c>
      <c r="P29" s="18" t="str">
        <f t="shared" si="1"/>
        <v>TAK</v>
      </c>
      <c r="Q29" s="15">
        <v>4.9909999999999998E-3</v>
      </c>
      <c r="R29" s="1">
        <v>1.7412E-2</v>
      </c>
      <c r="S29" s="1">
        <v>4.4000000000000002E-4</v>
      </c>
      <c r="T29" s="1">
        <v>1</v>
      </c>
      <c r="U29" s="1">
        <v>82</v>
      </c>
      <c r="V29" s="12">
        <v>82</v>
      </c>
      <c r="W29" s="18" t="str">
        <f t="shared" si="2"/>
        <v>TAK</v>
      </c>
    </row>
    <row r="30" spans="1:23" ht="15" thickBot="1" x14ac:dyDescent="0.35">
      <c r="A30" s="54"/>
      <c r="B30" s="39">
        <v>28</v>
      </c>
      <c r="C30" s="15">
        <v>1.582503</v>
      </c>
      <c r="D30" s="47">
        <v>0.181093</v>
      </c>
      <c r="E30" s="9">
        <v>1.7466680000000001</v>
      </c>
      <c r="F30" s="1">
        <v>-0.86473900000000004</v>
      </c>
      <c r="G30" s="1">
        <v>0.29871700000000001</v>
      </c>
      <c r="H30" s="1">
        <v>1</v>
      </c>
      <c r="I30" s="12">
        <v>48</v>
      </c>
      <c r="J30" s="18" t="str">
        <f t="shared" si="0"/>
        <v>NIE</v>
      </c>
      <c r="K30" s="9">
        <v>1.747339</v>
      </c>
      <c r="L30" s="9">
        <v>-0.87207100000000004</v>
      </c>
      <c r="M30" s="9">
        <v>0.29864099999999999</v>
      </c>
      <c r="N30" s="1">
        <v>1</v>
      </c>
      <c r="O30" s="12">
        <v>55</v>
      </c>
      <c r="P30" s="18" t="str">
        <f t="shared" si="1"/>
        <v>NIE</v>
      </c>
      <c r="Q30" s="15">
        <v>1.7457510000000001</v>
      </c>
      <c r="R30" s="1">
        <v>-0.85508200000000001</v>
      </c>
      <c r="S30" s="1">
        <v>0.29897400000000002</v>
      </c>
      <c r="T30" s="1">
        <v>1</v>
      </c>
      <c r="U30" s="1">
        <v>78</v>
      </c>
      <c r="V30" s="12">
        <v>78</v>
      </c>
      <c r="W30" s="18" t="str">
        <f t="shared" si="2"/>
        <v>NIE</v>
      </c>
    </row>
    <row r="31" spans="1:23" ht="15" thickBot="1" x14ac:dyDescent="0.35">
      <c r="A31" s="54"/>
      <c r="B31" s="39">
        <v>29</v>
      </c>
      <c r="C31" s="15">
        <v>0.82528800000000002</v>
      </c>
      <c r="D31" s="47">
        <v>1.8306119999999999</v>
      </c>
      <c r="E31" s="9">
        <v>-4.1110000000000001E-3</v>
      </c>
      <c r="F31" s="1">
        <v>9.9260000000000008E-3</v>
      </c>
      <c r="G31" s="1">
        <v>9.2E-5</v>
      </c>
      <c r="H31" s="1">
        <v>1</v>
      </c>
      <c r="I31" s="12">
        <v>58</v>
      </c>
      <c r="J31" s="18" t="str">
        <f t="shared" si="0"/>
        <v>TAK</v>
      </c>
      <c r="K31" s="9">
        <v>-3.1999999999999999E-5</v>
      </c>
      <c r="L31" s="9">
        <v>1.333E-3</v>
      </c>
      <c r="M31" s="9">
        <v>1.9999999999999999E-6</v>
      </c>
      <c r="N31" s="1">
        <v>1</v>
      </c>
      <c r="O31" s="12">
        <v>64</v>
      </c>
      <c r="P31" s="18" t="str">
        <f t="shared" si="1"/>
        <v>TAK</v>
      </c>
      <c r="Q31" s="15">
        <v>1.0688850000000001</v>
      </c>
      <c r="R31" s="1">
        <v>-0.51637500000000003</v>
      </c>
      <c r="S31" s="1">
        <v>0.87768199999999996</v>
      </c>
      <c r="T31" s="1">
        <v>1</v>
      </c>
      <c r="U31" s="1">
        <v>94</v>
      </c>
      <c r="V31" s="12">
        <v>94</v>
      </c>
      <c r="W31" s="18" t="str">
        <f t="shared" si="2"/>
        <v>NIE</v>
      </c>
    </row>
    <row r="32" spans="1:23" ht="15" thickBot="1" x14ac:dyDescent="0.35">
      <c r="A32" s="54"/>
      <c r="B32" s="39">
        <v>30</v>
      </c>
      <c r="C32" s="15">
        <v>1.1455599999999999</v>
      </c>
      <c r="D32" s="47">
        <v>1.142695</v>
      </c>
      <c r="E32" s="9">
        <v>-8.6799999999999996E-4</v>
      </c>
      <c r="F32" s="1">
        <v>8.3669999999999994E-3</v>
      </c>
      <c r="G32" s="1">
        <v>6.3999999999999997E-5</v>
      </c>
      <c r="H32" s="1">
        <v>1</v>
      </c>
      <c r="I32" s="12">
        <v>30</v>
      </c>
      <c r="J32" s="18" t="str">
        <f t="shared" si="0"/>
        <v>TAK</v>
      </c>
      <c r="K32" s="9">
        <v>5.9999999999999995E-4</v>
      </c>
      <c r="L32" s="9">
        <v>1.5999999999999999E-5</v>
      </c>
      <c r="M32" s="9">
        <v>9.9999999999999995E-7</v>
      </c>
      <c r="N32" s="1">
        <v>1</v>
      </c>
      <c r="O32" s="12">
        <v>73</v>
      </c>
      <c r="P32" s="18" t="str">
        <f t="shared" si="1"/>
        <v>TAK</v>
      </c>
      <c r="Q32" s="15">
        <v>1.0713729999999999</v>
      </c>
      <c r="R32" s="1">
        <v>-0.51689099999999999</v>
      </c>
      <c r="S32" s="1">
        <v>0.87771299999999997</v>
      </c>
      <c r="T32" s="1">
        <v>1</v>
      </c>
      <c r="U32" s="1">
        <v>88</v>
      </c>
      <c r="V32" s="12">
        <v>88</v>
      </c>
      <c r="W32" s="18" t="str">
        <f t="shared" si="2"/>
        <v>NIE</v>
      </c>
    </row>
    <row r="33" spans="1:23" ht="15" thickBot="1" x14ac:dyDescent="0.35">
      <c r="A33" s="54"/>
      <c r="B33" s="39">
        <v>31</v>
      </c>
      <c r="C33" s="15">
        <v>0.49243100000000001</v>
      </c>
      <c r="D33" s="47">
        <v>0.176679</v>
      </c>
      <c r="E33" s="9">
        <v>4.6909999999999999E-3</v>
      </c>
      <c r="F33" s="1">
        <v>-6.1269999999999996E-3</v>
      </c>
      <c r="G33" s="1">
        <v>5.3000000000000001E-5</v>
      </c>
      <c r="H33" s="1">
        <v>1</v>
      </c>
      <c r="I33" s="12">
        <v>23</v>
      </c>
      <c r="J33" s="18" t="str">
        <f t="shared" si="0"/>
        <v>TAK</v>
      </c>
      <c r="K33" s="9">
        <v>-1.01E-4</v>
      </c>
      <c r="L33" s="9">
        <v>-1.212E-3</v>
      </c>
      <c r="M33" s="9">
        <v>1.9999999999999999E-6</v>
      </c>
      <c r="N33" s="1">
        <v>1</v>
      </c>
      <c r="O33" s="12">
        <v>46</v>
      </c>
      <c r="P33" s="18" t="str">
        <f t="shared" si="1"/>
        <v>TAK</v>
      </c>
      <c r="Q33" s="15">
        <v>1.4848E-2</v>
      </c>
      <c r="R33" s="1">
        <v>1.1084999999999999E-2</v>
      </c>
      <c r="S33" s="1">
        <v>7.2800000000000002E-4</v>
      </c>
      <c r="T33" s="1">
        <v>1</v>
      </c>
      <c r="U33" s="1">
        <v>61</v>
      </c>
      <c r="V33" s="12">
        <v>61</v>
      </c>
      <c r="W33" s="18" t="str">
        <f t="shared" si="2"/>
        <v>TAK</v>
      </c>
    </row>
    <row r="34" spans="1:23" ht="15" thickBot="1" x14ac:dyDescent="0.35">
      <c r="A34" s="54"/>
      <c r="B34" s="39">
        <v>32</v>
      </c>
      <c r="C34" s="15">
        <v>0.16995099999999999</v>
      </c>
      <c r="D34" s="47">
        <v>0.95218000000000003</v>
      </c>
      <c r="E34" s="9">
        <v>-4.2589999999999998E-3</v>
      </c>
      <c r="F34" s="1">
        <v>1.0284E-2</v>
      </c>
      <c r="G34" s="1">
        <v>9.7999999999999997E-5</v>
      </c>
      <c r="H34" s="1">
        <v>1</v>
      </c>
      <c r="I34" s="12">
        <v>52</v>
      </c>
      <c r="J34" s="18" t="str">
        <f t="shared" si="0"/>
        <v>TAK</v>
      </c>
      <c r="K34" s="9">
        <v>-8.6000000000000003E-5</v>
      </c>
      <c r="L34" s="9">
        <v>1.652E-3</v>
      </c>
      <c r="M34" s="9">
        <v>3.0000000000000001E-6</v>
      </c>
      <c r="N34" s="1">
        <v>1</v>
      </c>
      <c r="O34" s="12">
        <v>58</v>
      </c>
      <c r="P34" s="18" t="str">
        <f t="shared" si="1"/>
        <v>TAK</v>
      </c>
      <c r="Q34" s="15">
        <v>3.1519999999999999E-3</v>
      </c>
      <c r="R34" s="1">
        <v>1.8402000000000002E-2</v>
      </c>
      <c r="S34" s="1">
        <v>4.17E-4</v>
      </c>
      <c r="T34" s="1">
        <v>1</v>
      </c>
      <c r="U34" s="1">
        <v>77</v>
      </c>
      <c r="V34" s="12">
        <v>77</v>
      </c>
      <c r="W34" s="18" t="str">
        <f t="shared" si="2"/>
        <v>TAK</v>
      </c>
    </row>
    <row r="35" spans="1:23" ht="15" thickBot="1" x14ac:dyDescent="0.35">
      <c r="A35" s="54"/>
      <c r="B35" s="39">
        <v>33</v>
      </c>
      <c r="C35" s="15">
        <v>2.5183000000000001E-2</v>
      </c>
      <c r="D35" s="47">
        <v>0.52207700000000001</v>
      </c>
      <c r="E35" s="9">
        <v>-4.3990000000000001E-3</v>
      </c>
      <c r="F35" s="1">
        <v>1.0626999999999999E-2</v>
      </c>
      <c r="G35" s="1">
        <v>1.05E-4</v>
      </c>
      <c r="H35" s="1">
        <v>1</v>
      </c>
      <c r="I35" s="12">
        <v>45</v>
      </c>
      <c r="J35" s="18" t="str">
        <f t="shared" si="0"/>
        <v>TAK</v>
      </c>
      <c r="K35" s="9">
        <v>-1.6100000000000001E-4</v>
      </c>
      <c r="L35" s="9">
        <v>1.3910000000000001E-3</v>
      </c>
      <c r="M35" s="9">
        <v>1.9999999999999999E-6</v>
      </c>
      <c r="N35" s="1">
        <v>1</v>
      </c>
      <c r="O35" s="12">
        <v>55</v>
      </c>
      <c r="P35" s="18" t="str">
        <f t="shared" si="1"/>
        <v>TAK</v>
      </c>
      <c r="Q35" s="15">
        <v>8.9700000000000001E-4</v>
      </c>
      <c r="R35" s="1">
        <v>1.8610999999999999E-2</v>
      </c>
      <c r="S35" s="1">
        <v>3.6499999999999998E-4</v>
      </c>
      <c r="T35" s="1">
        <v>1</v>
      </c>
      <c r="U35" s="1">
        <v>65</v>
      </c>
      <c r="V35" s="12">
        <v>65</v>
      </c>
      <c r="W35" s="18" t="str">
        <f t="shared" si="2"/>
        <v>TAK</v>
      </c>
    </row>
    <row r="36" spans="1:23" ht="15" thickBot="1" x14ac:dyDescent="0.35">
      <c r="A36" s="54"/>
      <c r="B36" s="39">
        <v>34</v>
      </c>
      <c r="C36" s="15">
        <v>0.214584</v>
      </c>
      <c r="D36" s="47">
        <v>0.82537799999999995</v>
      </c>
      <c r="E36" s="9">
        <v>-4.1859999999999996E-3</v>
      </c>
      <c r="F36" s="1">
        <v>1.0109E-2</v>
      </c>
      <c r="G36" s="1">
        <v>9.5000000000000005E-5</v>
      </c>
      <c r="H36" s="1">
        <v>1</v>
      </c>
      <c r="I36" s="12">
        <v>50</v>
      </c>
      <c r="J36" s="18" t="str">
        <f t="shared" si="0"/>
        <v>TAK</v>
      </c>
      <c r="K36" s="9">
        <v>-1.4E-5</v>
      </c>
      <c r="L36" s="9">
        <v>1.4450000000000001E-3</v>
      </c>
      <c r="M36" s="9">
        <v>1.9999999999999999E-6</v>
      </c>
      <c r="N36" s="1">
        <v>1</v>
      </c>
      <c r="O36" s="12">
        <v>58</v>
      </c>
      <c r="P36" s="18" t="str">
        <f t="shared" si="1"/>
        <v>TAK</v>
      </c>
      <c r="Q36" s="15">
        <v>4.3090000000000003E-3</v>
      </c>
      <c r="R36" s="1">
        <v>1.7752E-2</v>
      </c>
      <c r="S36" s="1">
        <v>4.2900000000000002E-4</v>
      </c>
      <c r="T36" s="1">
        <v>1</v>
      </c>
      <c r="U36" s="1">
        <v>75</v>
      </c>
      <c r="V36" s="12">
        <v>75</v>
      </c>
      <c r="W36" s="18" t="str">
        <f t="shared" si="2"/>
        <v>TAK</v>
      </c>
    </row>
    <row r="37" spans="1:23" ht="15" thickBot="1" x14ac:dyDescent="0.35">
      <c r="A37" s="54"/>
      <c r="B37" s="39">
        <v>35</v>
      </c>
      <c r="C37" s="15">
        <v>1.240483</v>
      </c>
      <c r="D37" s="47">
        <v>1.1427149999999999</v>
      </c>
      <c r="E37" s="9">
        <v>4.3889999999999997E-3</v>
      </c>
      <c r="F37" s="1">
        <v>-1.0083E-2</v>
      </c>
      <c r="G37" s="1">
        <v>9.6000000000000002E-5</v>
      </c>
      <c r="H37" s="1">
        <v>1</v>
      </c>
      <c r="I37" s="12">
        <v>43</v>
      </c>
      <c r="J37" s="18" t="str">
        <f t="shared" si="0"/>
        <v>TAK</v>
      </c>
      <c r="K37" s="9" t="s">
        <v>23</v>
      </c>
      <c r="L37" s="9" t="s">
        <v>24</v>
      </c>
      <c r="M37" s="9" t="s">
        <v>23</v>
      </c>
      <c r="N37" s="1">
        <v>1</v>
      </c>
      <c r="O37" s="12">
        <v>73</v>
      </c>
      <c r="P37" s="18" t="e">
        <f t="shared" si="1"/>
        <v>#VALUE!</v>
      </c>
      <c r="Q37" s="15">
        <v>1.072387</v>
      </c>
      <c r="R37" s="1">
        <v>-0.51687700000000003</v>
      </c>
      <c r="S37" s="1">
        <v>0.87772700000000003</v>
      </c>
      <c r="T37" s="1">
        <v>1</v>
      </c>
      <c r="U37" s="1">
        <v>88</v>
      </c>
      <c r="V37" s="12">
        <v>88</v>
      </c>
      <c r="W37" s="18" t="str">
        <f t="shared" si="2"/>
        <v>NIE</v>
      </c>
    </row>
    <row r="38" spans="1:23" ht="15" thickBot="1" x14ac:dyDescent="0.35">
      <c r="A38" s="54"/>
      <c r="B38" s="39">
        <v>36</v>
      </c>
      <c r="C38" s="15">
        <v>1.223436</v>
      </c>
      <c r="D38" s="47">
        <v>0.453098</v>
      </c>
      <c r="E38" s="9">
        <v>4.3829999999999997E-3</v>
      </c>
      <c r="F38" s="1">
        <v>-1.0567999999999999E-2</v>
      </c>
      <c r="G38" s="1">
        <v>1.0399999999999999E-4</v>
      </c>
      <c r="H38" s="1">
        <v>1</v>
      </c>
      <c r="I38" s="12">
        <v>71</v>
      </c>
      <c r="J38" s="18" t="str">
        <f t="shared" si="0"/>
        <v>TAK</v>
      </c>
      <c r="K38" s="9" t="s">
        <v>23</v>
      </c>
      <c r="L38" s="9" t="s">
        <v>23</v>
      </c>
      <c r="M38" s="9" t="s">
        <v>23</v>
      </c>
      <c r="N38" s="1">
        <v>1</v>
      </c>
      <c r="O38" s="12">
        <v>46</v>
      </c>
      <c r="P38" s="18" t="e">
        <f t="shared" si="1"/>
        <v>#VALUE!</v>
      </c>
      <c r="Q38" s="15">
        <v>1.073332</v>
      </c>
      <c r="R38" s="1">
        <v>-0.51717999999999997</v>
      </c>
      <c r="S38" s="1">
        <v>0.87772399999999995</v>
      </c>
      <c r="T38" s="1">
        <v>1</v>
      </c>
      <c r="U38" s="1">
        <v>78</v>
      </c>
      <c r="V38" s="12">
        <v>78</v>
      </c>
      <c r="W38" s="18" t="str">
        <f t="shared" si="2"/>
        <v>NIE</v>
      </c>
    </row>
    <row r="39" spans="1:23" ht="15" thickBot="1" x14ac:dyDescent="0.35">
      <c r="A39" s="54"/>
      <c r="B39" s="39">
        <v>37</v>
      </c>
      <c r="C39" s="15">
        <v>0.77165899999999998</v>
      </c>
      <c r="D39" s="47">
        <v>0.66027199999999997</v>
      </c>
      <c r="E39" s="9">
        <v>-4.0699999999999998E-3</v>
      </c>
      <c r="F39" s="1">
        <v>1.0267E-2</v>
      </c>
      <c r="G39" s="1">
        <v>9.7E-5</v>
      </c>
      <c r="H39" s="1">
        <v>1</v>
      </c>
      <c r="I39" s="12">
        <v>36</v>
      </c>
      <c r="J39" s="18" t="str">
        <f t="shared" si="0"/>
        <v>TAK</v>
      </c>
      <c r="K39" s="9">
        <v>-9.1500000000000001E-4</v>
      </c>
      <c r="L39" s="9">
        <v>7.0899999999999999E-4</v>
      </c>
      <c r="M39" s="9">
        <v>1.9999999999999999E-6</v>
      </c>
      <c r="N39" s="1">
        <v>1</v>
      </c>
      <c r="O39" s="12">
        <v>49</v>
      </c>
      <c r="P39" s="18" t="str">
        <f t="shared" si="1"/>
        <v>TAK</v>
      </c>
      <c r="Q39" s="15">
        <v>1.0668580000000001</v>
      </c>
      <c r="R39" s="1">
        <v>-0.51701600000000003</v>
      </c>
      <c r="S39" s="1">
        <v>0.87760099999999996</v>
      </c>
      <c r="T39" s="1">
        <v>1</v>
      </c>
      <c r="U39" s="1">
        <v>81</v>
      </c>
      <c r="V39" s="12">
        <v>81</v>
      </c>
      <c r="W39" s="18" t="str">
        <f t="shared" si="2"/>
        <v>NIE</v>
      </c>
    </row>
    <row r="40" spans="1:23" ht="15" thickBot="1" x14ac:dyDescent="0.35">
      <c r="A40" s="54"/>
      <c r="B40" s="39">
        <v>38</v>
      </c>
      <c r="C40" s="15">
        <v>0.14715500000000001</v>
      </c>
      <c r="D40" s="47">
        <v>1.677727</v>
      </c>
      <c r="E40" s="9">
        <v>-4.431E-3</v>
      </c>
      <c r="F40" s="1">
        <v>1.0697E-2</v>
      </c>
      <c r="G40" s="1">
        <v>1.06E-4</v>
      </c>
      <c r="H40" s="1">
        <v>1</v>
      </c>
      <c r="I40" s="12">
        <v>59</v>
      </c>
      <c r="J40" s="18" t="str">
        <f t="shared" si="0"/>
        <v>TAK</v>
      </c>
      <c r="K40" s="9">
        <v>-1.6000000000000001E-4</v>
      </c>
      <c r="L40" s="9">
        <v>1.81E-3</v>
      </c>
      <c r="M40" s="9">
        <v>3.0000000000000001E-6</v>
      </c>
      <c r="N40" s="1">
        <v>1</v>
      </c>
      <c r="O40" s="12">
        <v>61</v>
      </c>
      <c r="P40" s="18" t="str">
        <f t="shared" si="1"/>
        <v>TAK</v>
      </c>
      <c r="Q40" s="15">
        <v>1.567E-3</v>
      </c>
      <c r="R40" s="1">
        <v>1.8405000000000001E-2</v>
      </c>
      <c r="S40" s="1">
        <v>3.7199999999999999E-4</v>
      </c>
      <c r="T40" s="1">
        <v>1</v>
      </c>
      <c r="U40" s="1">
        <v>88</v>
      </c>
      <c r="V40" s="12">
        <v>88</v>
      </c>
      <c r="W40" s="18" t="str">
        <f t="shared" si="2"/>
        <v>TAK</v>
      </c>
    </row>
    <row r="41" spans="1:23" ht="15" thickBot="1" x14ac:dyDescent="0.35">
      <c r="A41" s="54"/>
      <c r="B41" s="39">
        <v>39</v>
      </c>
      <c r="C41" s="15">
        <v>0.53781500000000004</v>
      </c>
      <c r="D41" s="47">
        <v>1.2108369999999999</v>
      </c>
      <c r="E41" s="9">
        <v>-4.2880000000000001E-3</v>
      </c>
      <c r="F41" s="1">
        <v>1.0355E-2</v>
      </c>
      <c r="G41" s="1">
        <v>1E-4</v>
      </c>
      <c r="H41" s="1">
        <v>1</v>
      </c>
      <c r="I41" s="12">
        <v>53</v>
      </c>
      <c r="J41" s="18" t="str">
        <f t="shared" si="0"/>
        <v>TAK</v>
      </c>
      <c r="K41" s="9">
        <v>2.9E-5</v>
      </c>
      <c r="L41" s="9">
        <v>1.3990000000000001E-3</v>
      </c>
      <c r="M41" s="9">
        <v>1.9999999999999999E-6</v>
      </c>
      <c r="N41" s="1">
        <v>1</v>
      </c>
      <c r="O41" s="12">
        <v>61</v>
      </c>
      <c r="P41" s="18" t="str">
        <f t="shared" si="1"/>
        <v>TAK</v>
      </c>
      <c r="Q41" s="15">
        <v>3.8089999999999999E-3</v>
      </c>
      <c r="R41" s="1">
        <v>1.8001E-2</v>
      </c>
      <c r="S41" s="1">
        <v>4.2200000000000001E-4</v>
      </c>
      <c r="T41" s="1">
        <v>1</v>
      </c>
      <c r="U41" s="1">
        <v>84</v>
      </c>
      <c r="V41" s="12">
        <v>84</v>
      </c>
      <c r="W41" s="18" t="str">
        <f t="shared" si="2"/>
        <v>TAK</v>
      </c>
    </row>
    <row r="42" spans="1:23" ht="15" thickBot="1" x14ac:dyDescent="0.35">
      <c r="A42" s="54"/>
      <c r="B42" s="39">
        <v>40</v>
      </c>
      <c r="C42" s="15">
        <v>1.5020230000000001</v>
      </c>
      <c r="D42" s="47">
        <v>0.95635099999999995</v>
      </c>
      <c r="E42" s="9">
        <v>1.7466619999999999</v>
      </c>
      <c r="F42" s="1">
        <v>-0.86468199999999995</v>
      </c>
      <c r="G42" s="1">
        <v>0.29871799999999998</v>
      </c>
      <c r="H42" s="1">
        <v>1</v>
      </c>
      <c r="I42" s="12">
        <v>54</v>
      </c>
      <c r="J42" s="18" t="str">
        <f t="shared" si="0"/>
        <v>NIE</v>
      </c>
      <c r="K42" s="9">
        <v>1.747379</v>
      </c>
      <c r="L42" s="9">
        <v>-0.87218499999999999</v>
      </c>
      <c r="M42" s="9">
        <v>0.29864099999999999</v>
      </c>
      <c r="N42" s="1">
        <v>1</v>
      </c>
      <c r="O42" s="12">
        <v>58</v>
      </c>
      <c r="P42" s="18" t="str">
        <f t="shared" si="1"/>
        <v>NIE</v>
      </c>
      <c r="Q42" s="15">
        <v>1.7466459999999999</v>
      </c>
      <c r="R42" s="1">
        <v>-0.85555199999999998</v>
      </c>
      <c r="S42" s="1">
        <v>0.29895899999999997</v>
      </c>
      <c r="T42" s="1">
        <v>1</v>
      </c>
      <c r="U42" s="1">
        <v>89</v>
      </c>
      <c r="V42" s="12">
        <v>89</v>
      </c>
      <c r="W42" s="18" t="str">
        <f t="shared" si="2"/>
        <v>NIE</v>
      </c>
    </row>
    <row r="43" spans="1:23" ht="15" thickBot="1" x14ac:dyDescent="0.35">
      <c r="A43" s="54"/>
      <c r="B43" s="39">
        <v>41</v>
      </c>
      <c r="C43" s="15">
        <v>0.33882099999999998</v>
      </c>
      <c r="D43" s="47">
        <v>1.913483</v>
      </c>
      <c r="E43" s="9">
        <v>-4.1089999999999998E-3</v>
      </c>
      <c r="F43" s="1">
        <v>9.9179999999999997E-3</v>
      </c>
      <c r="G43" s="1">
        <v>9.1000000000000003E-5</v>
      </c>
      <c r="H43" s="1">
        <v>1</v>
      </c>
      <c r="I43" s="12">
        <v>61</v>
      </c>
      <c r="J43" s="18" t="str">
        <f t="shared" si="0"/>
        <v>TAK</v>
      </c>
      <c r="K43" s="9">
        <v>-7.7999999999999999E-5</v>
      </c>
      <c r="L43" s="9">
        <v>1.294E-3</v>
      </c>
      <c r="M43" s="9">
        <v>1.9999999999999999E-6</v>
      </c>
      <c r="N43" s="1">
        <v>1</v>
      </c>
      <c r="O43" s="12">
        <v>64</v>
      </c>
      <c r="P43" s="18" t="str">
        <f t="shared" si="1"/>
        <v>TAK</v>
      </c>
      <c r="Q43" s="15">
        <v>2.7190000000000001E-3</v>
      </c>
      <c r="R43" s="1">
        <v>1.8207000000000001E-2</v>
      </c>
      <c r="S43" s="1">
        <v>3.9599999999999998E-4</v>
      </c>
      <c r="T43" s="1">
        <v>1</v>
      </c>
      <c r="U43" s="1">
        <v>91</v>
      </c>
      <c r="V43" s="12">
        <v>91</v>
      </c>
      <c r="W43" s="18" t="str">
        <f t="shared" si="2"/>
        <v>TAK</v>
      </c>
    </row>
    <row r="44" spans="1:23" ht="15" thickBot="1" x14ac:dyDescent="0.35">
      <c r="A44" s="54"/>
      <c r="B44" s="39">
        <v>42</v>
      </c>
      <c r="C44" s="15">
        <v>0.96476899999999999</v>
      </c>
      <c r="D44" s="47">
        <v>0.68671300000000002</v>
      </c>
      <c r="E44" s="9">
        <v>2.3519999999999999E-3</v>
      </c>
      <c r="F44" s="1">
        <v>1.611E-3</v>
      </c>
      <c r="G44" s="1">
        <v>1.7E-5</v>
      </c>
      <c r="H44" s="1">
        <v>1</v>
      </c>
      <c r="I44" s="12">
        <v>27</v>
      </c>
      <c r="J44" s="18" t="str">
        <f t="shared" si="0"/>
        <v>TAK</v>
      </c>
      <c r="K44" s="9">
        <v>-3.5E-4</v>
      </c>
      <c r="L44" s="9">
        <v>-7.45E-4</v>
      </c>
      <c r="M44" s="9">
        <v>9.9999999999999995E-7</v>
      </c>
      <c r="N44" s="1">
        <v>1</v>
      </c>
      <c r="O44" s="12">
        <v>52</v>
      </c>
      <c r="P44" s="18" t="str">
        <f t="shared" si="1"/>
        <v>TAK</v>
      </c>
      <c r="Q44" s="15">
        <v>1.069043</v>
      </c>
      <c r="R44" s="1">
        <v>-0.517096</v>
      </c>
      <c r="S44" s="1">
        <v>0.87766</v>
      </c>
      <c r="T44" s="1">
        <v>1</v>
      </c>
      <c r="U44" s="1">
        <v>82</v>
      </c>
      <c r="V44" s="12">
        <v>82</v>
      </c>
      <c r="W44" s="18" t="str">
        <f t="shared" si="2"/>
        <v>NIE</v>
      </c>
    </row>
    <row r="45" spans="1:23" ht="15" thickBot="1" x14ac:dyDescent="0.35">
      <c r="A45" s="54"/>
      <c r="B45" s="39">
        <v>43</v>
      </c>
      <c r="C45" s="15">
        <v>0.773752</v>
      </c>
      <c r="D45" s="47">
        <v>0.47598200000000002</v>
      </c>
      <c r="E45" s="9">
        <v>7.2599999999999997E-4</v>
      </c>
      <c r="F45" s="1">
        <v>5.0860000000000002E-3</v>
      </c>
      <c r="G45" s="1">
        <v>3.1000000000000001E-5</v>
      </c>
      <c r="H45" s="1">
        <v>1</v>
      </c>
      <c r="I45" s="12">
        <v>25</v>
      </c>
      <c r="J45" s="18" t="str">
        <f t="shared" si="0"/>
        <v>TAK</v>
      </c>
      <c r="K45" s="9">
        <v>-2.3E-5</v>
      </c>
      <c r="L45" s="9">
        <v>-1.371E-3</v>
      </c>
      <c r="M45" s="9">
        <v>1.9999999999999999E-6</v>
      </c>
      <c r="N45" s="1">
        <v>1</v>
      </c>
      <c r="O45" s="12">
        <v>49</v>
      </c>
      <c r="P45" s="18" t="str">
        <f t="shared" si="1"/>
        <v>TAK</v>
      </c>
      <c r="Q45" s="15">
        <v>1.066263</v>
      </c>
      <c r="R45" s="1">
        <v>-0.51734100000000005</v>
      </c>
      <c r="S45" s="1">
        <v>0.87757099999999999</v>
      </c>
      <c r="T45" s="1">
        <v>1</v>
      </c>
      <c r="U45" s="1">
        <v>78</v>
      </c>
      <c r="V45" s="12">
        <v>78</v>
      </c>
      <c r="W45" s="18" t="str">
        <f t="shared" si="2"/>
        <v>NIE</v>
      </c>
    </row>
    <row r="46" spans="1:23" ht="15" thickBot="1" x14ac:dyDescent="0.35">
      <c r="A46" s="54"/>
      <c r="B46" s="39">
        <v>44</v>
      </c>
      <c r="C46" s="15">
        <v>0.84472100000000006</v>
      </c>
      <c r="D46" s="47">
        <v>0.73948899999999995</v>
      </c>
      <c r="E46" s="9">
        <v>-4.1539999999999997E-3</v>
      </c>
      <c r="F46" s="1">
        <v>1.056E-2</v>
      </c>
      <c r="G46" s="1">
        <v>1.02E-4</v>
      </c>
      <c r="H46" s="1">
        <v>1</v>
      </c>
      <c r="I46" s="12">
        <v>36</v>
      </c>
      <c r="J46" s="18" t="str">
        <f t="shared" si="0"/>
        <v>TAK</v>
      </c>
      <c r="K46" s="9">
        <v>6.5899999999999997E-4</v>
      </c>
      <c r="L46" s="9">
        <v>1.0859999999999999E-3</v>
      </c>
      <c r="M46" s="9">
        <v>3.0000000000000001E-6</v>
      </c>
      <c r="N46" s="1">
        <v>1</v>
      </c>
      <c r="O46" s="12">
        <v>34</v>
      </c>
      <c r="P46" s="18" t="str">
        <f t="shared" si="1"/>
        <v>TAK</v>
      </c>
      <c r="Q46" s="15">
        <v>1.0676559999999999</v>
      </c>
      <c r="R46" s="1">
        <v>-0.51651100000000005</v>
      </c>
      <c r="S46" s="1">
        <v>0.87764299999999995</v>
      </c>
      <c r="T46" s="1">
        <v>1</v>
      </c>
      <c r="U46" s="1">
        <v>82</v>
      </c>
      <c r="V46" s="12">
        <v>82</v>
      </c>
      <c r="W46" s="18" t="str">
        <f t="shared" si="2"/>
        <v>NIE</v>
      </c>
    </row>
    <row r="47" spans="1:23" ht="15" thickBot="1" x14ac:dyDescent="0.35">
      <c r="A47" s="54"/>
      <c r="B47" s="39">
        <v>45</v>
      </c>
      <c r="C47" s="15">
        <v>1.0280929999999999</v>
      </c>
      <c r="D47" s="47">
        <v>0.87802199999999997</v>
      </c>
      <c r="E47" s="9">
        <v>-1.3810000000000001E-3</v>
      </c>
      <c r="F47" s="1">
        <v>8.6359999999999996E-3</v>
      </c>
      <c r="G47" s="1">
        <v>6.6000000000000005E-5</v>
      </c>
      <c r="H47" s="1">
        <v>1</v>
      </c>
      <c r="I47" s="12">
        <v>29</v>
      </c>
      <c r="J47" s="18" t="str">
        <f t="shared" si="0"/>
        <v>TAK</v>
      </c>
      <c r="K47" s="9">
        <v>-7.7200000000000001E-4</v>
      </c>
      <c r="L47" s="9">
        <v>-2.2599999999999999E-4</v>
      </c>
      <c r="M47" s="9">
        <v>9.9999999999999995E-7</v>
      </c>
      <c r="N47" s="1">
        <v>1</v>
      </c>
      <c r="O47" s="12">
        <v>52</v>
      </c>
      <c r="P47" s="18" t="str">
        <f t="shared" si="1"/>
        <v>TAK</v>
      </c>
      <c r="Q47" s="15">
        <v>1.0700080000000001</v>
      </c>
      <c r="R47" s="1">
        <v>-0.51721399999999995</v>
      </c>
      <c r="S47" s="1">
        <v>0.87767700000000004</v>
      </c>
      <c r="T47" s="1">
        <v>1</v>
      </c>
      <c r="U47" s="1">
        <v>85</v>
      </c>
      <c r="V47" s="12">
        <v>85</v>
      </c>
      <c r="W47" s="18" t="str">
        <f t="shared" si="2"/>
        <v>NIE</v>
      </c>
    </row>
    <row r="48" spans="1:23" ht="15" thickBot="1" x14ac:dyDescent="0.35">
      <c r="A48" s="54"/>
      <c r="B48" s="39">
        <v>46</v>
      </c>
      <c r="C48" s="15">
        <v>0.39397900000000002</v>
      </c>
      <c r="D48" s="47">
        <v>0.62348300000000001</v>
      </c>
      <c r="E48" s="9">
        <v>-4.1939999999999998E-3</v>
      </c>
      <c r="F48" s="1">
        <v>1.0153000000000001E-2</v>
      </c>
      <c r="G48" s="1">
        <v>9.6000000000000002E-5</v>
      </c>
      <c r="H48" s="1">
        <v>1</v>
      </c>
      <c r="I48" s="12">
        <v>44</v>
      </c>
      <c r="J48" s="18" t="str">
        <f t="shared" si="0"/>
        <v>TAK</v>
      </c>
      <c r="K48" s="9">
        <v>-8.2000000000000001E-5</v>
      </c>
      <c r="L48" s="9">
        <v>1.9819999999999998E-3</v>
      </c>
      <c r="M48" s="9">
        <v>3.9999999999999998E-6</v>
      </c>
      <c r="N48" s="1">
        <v>1</v>
      </c>
      <c r="O48" s="12">
        <v>55</v>
      </c>
      <c r="P48" s="18" t="str">
        <f t="shared" si="1"/>
        <v>TAK</v>
      </c>
      <c r="Q48" s="15">
        <v>7.8860000000000006E-3</v>
      </c>
      <c r="R48" s="1">
        <v>1.6482E-2</v>
      </c>
      <c r="S48" s="1">
        <v>5.2599999999999999E-4</v>
      </c>
      <c r="T48" s="1">
        <v>1</v>
      </c>
      <c r="U48" s="1">
        <v>72</v>
      </c>
      <c r="V48" s="12">
        <v>72</v>
      </c>
      <c r="W48" s="18" t="str">
        <f t="shared" si="2"/>
        <v>TAK</v>
      </c>
    </row>
    <row r="49" spans="1:23" ht="15" thickBot="1" x14ac:dyDescent="0.35">
      <c r="A49" s="54"/>
      <c r="B49" s="39">
        <v>47</v>
      </c>
      <c r="C49" s="15">
        <v>1.5754649999999999</v>
      </c>
      <c r="D49" s="47">
        <v>1.10236</v>
      </c>
      <c r="E49" s="9">
        <v>1.746702</v>
      </c>
      <c r="F49" s="1">
        <v>-0.86508499999999999</v>
      </c>
      <c r="G49" s="1">
        <v>0.298711</v>
      </c>
      <c r="H49" s="1">
        <v>1</v>
      </c>
      <c r="I49" s="12">
        <v>55</v>
      </c>
      <c r="J49" s="18" t="str">
        <f t="shared" si="0"/>
        <v>NIE</v>
      </c>
      <c r="K49" s="9">
        <v>1.7474460000000001</v>
      </c>
      <c r="L49" s="9">
        <v>-0.87219899999999995</v>
      </c>
      <c r="M49" s="9">
        <v>0.29864099999999999</v>
      </c>
      <c r="N49" s="1">
        <v>1</v>
      </c>
      <c r="O49" s="12">
        <v>58</v>
      </c>
      <c r="P49" s="18" t="str">
        <f t="shared" si="1"/>
        <v>NIE</v>
      </c>
      <c r="Q49" s="15">
        <v>1.746615</v>
      </c>
      <c r="R49" s="1">
        <v>-0.85555199999999998</v>
      </c>
      <c r="S49" s="1">
        <v>0.29895899999999997</v>
      </c>
      <c r="T49" s="1">
        <v>1</v>
      </c>
      <c r="U49" s="1">
        <v>91</v>
      </c>
      <c r="V49" s="12">
        <v>91</v>
      </c>
      <c r="W49" s="18" t="str">
        <f t="shared" si="2"/>
        <v>NIE</v>
      </c>
    </row>
    <row r="50" spans="1:23" ht="15" thickBot="1" x14ac:dyDescent="0.35">
      <c r="A50" s="54"/>
      <c r="B50" s="39">
        <v>48</v>
      </c>
      <c r="C50" s="15">
        <v>0.48182399999999997</v>
      </c>
      <c r="D50" s="47">
        <v>9.2350000000000002E-3</v>
      </c>
      <c r="E50" s="9">
        <v>4.365E-3</v>
      </c>
      <c r="F50" s="1">
        <v>-1.0302E-2</v>
      </c>
      <c r="G50" s="1">
        <v>9.8999999999999994E-5</v>
      </c>
      <c r="H50" s="1">
        <v>1</v>
      </c>
      <c r="I50" s="12">
        <v>35</v>
      </c>
      <c r="J50" s="18" t="str">
        <f t="shared" si="0"/>
        <v>TAK</v>
      </c>
      <c r="K50" s="9">
        <v>5.2700000000000002E-4</v>
      </c>
      <c r="L50" s="9">
        <v>-2.1779999999999998E-3</v>
      </c>
      <c r="M50" s="9">
        <v>3.9999999999999998E-6</v>
      </c>
      <c r="N50" s="1">
        <v>1</v>
      </c>
      <c r="O50" s="12">
        <v>46</v>
      </c>
      <c r="P50" s="18" t="str">
        <f t="shared" si="1"/>
        <v>TAK</v>
      </c>
      <c r="Q50" s="15">
        <v>1.8242000000000001E-2</v>
      </c>
      <c r="R50" s="1">
        <v>4.3200000000000001E-3</v>
      </c>
      <c r="S50" s="1">
        <v>7.6300000000000001E-4</v>
      </c>
      <c r="T50" s="1">
        <v>1</v>
      </c>
      <c r="U50" s="1">
        <v>57</v>
      </c>
      <c r="V50" s="12">
        <v>57</v>
      </c>
      <c r="W50" s="18" t="str">
        <f t="shared" si="2"/>
        <v>TAK</v>
      </c>
    </row>
    <row r="51" spans="1:23" ht="15" thickBot="1" x14ac:dyDescent="0.35">
      <c r="A51" s="54"/>
      <c r="B51" s="39">
        <v>49</v>
      </c>
      <c r="C51" s="15">
        <v>0.87598900000000002</v>
      </c>
      <c r="D51" s="47">
        <v>0.81277100000000002</v>
      </c>
      <c r="E51" s="9">
        <v>-4.1830000000000001E-3</v>
      </c>
      <c r="F51" s="1">
        <v>1.0448000000000001E-2</v>
      </c>
      <c r="G51" s="1">
        <v>1E-4</v>
      </c>
      <c r="H51" s="1">
        <v>1</v>
      </c>
      <c r="I51" s="12">
        <v>38</v>
      </c>
      <c r="J51" s="18" t="str">
        <f t="shared" si="0"/>
        <v>TAK</v>
      </c>
      <c r="K51" s="9">
        <v>2.5999999999999998E-4</v>
      </c>
      <c r="L51" s="9">
        <v>8.7299999999999997E-4</v>
      </c>
      <c r="M51" s="9">
        <v>9.9999999999999995E-7</v>
      </c>
      <c r="N51" s="1">
        <v>1</v>
      </c>
      <c r="O51" s="12">
        <v>37</v>
      </c>
      <c r="P51" s="18" t="str">
        <f t="shared" si="1"/>
        <v>TAK</v>
      </c>
      <c r="Q51" s="15">
        <v>1.0682259999999999</v>
      </c>
      <c r="R51" s="1">
        <v>-0.51728799999999997</v>
      </c>
      <c r="S51" s="1">
        <v>0.877633</v>
      </c>
      <c r="T51" s="1">
        <v>1</v>
      </c>
      <c r="U51" s="1">
        <v>84</v>
      </c>
      <c r="V51" s="12">
        <v>84</v>
      </c>
      <c r="W51" s="18" t="str">
        <f t="shared" si="2"/>
        <v>NIE</v>
      </c>
    </row>
    <row r="52" spans="1:23" ht="15" thickBot="1" x14ac:dyDescent="0.35">
      <c r="A52" s="54"/>
      <c r="B52" s="39">
        <v>50</v>
      </c>
      <c r="C52" s="15">
        <v>0.34443800000000002</v>
      </c>
      <c r="D52" s="47">
        <v>1.2189430000000001</v>
      </c>
      <c r="E52" s="9">
        <v>-4.3909999999999999E-3</v>
      </c>
      <c r="F52" s="1">
        <v>1.0603E-2</v>
      </c>
      <c r="G52" s="1">
        <v>1.0399999999999999E-4</v>
      </c>
      <c r="H52" s="1">
        <v>1</v>
      </c>
      <c r="I52" s="12">
        <v>54</v>
      </c>
      <c r="J52" s="18" t="str">
        <f t="shared" si="0"/>
        <v>TAK</v>
      </c>
      <c r="K52" s="9">
        <v>-7.2000000000000002E-5</v>
      </c>
      <c r="L52" s="9">
        <v>1.4009999999999999E-3</v>
      </c>
      <c r="M52" s="9">
        <v>1.9999999999999999E-6</v>
      </c>
      <c r="N52" s="1">
        <v>1</v>
      </c>
      <c r="O52" s="12">
        <v>61</v>
      </c>
      <c r="P52" s="18" t="str">
        <f t="shared" si="1"/>
        <v>TAK</v>
      </c>
      <c r="Q52" s="15">
        <v>4.143E-3</v>
      </c>
      <c r="R52" s="1">
        <v>1.7627E-2</v>
      </c>
      <c r="S52" s="1">
        <v>4.1800000000000002E-4</v>
      </c>
      <c r="T52" s="1">
        <v>1</v>
      </c>
      <c r="U52" s="1">
        <v>83</v>
      </c>
      <c r="V52" s="12">
        <v>83</v>
      </c>
      <c r="W52" s="18" t="str">
        <f t="shared" si="2"/>
        <v>TAK</v>
      </c>
    </row>
    <row r="53" spans="1:23" ht="15" thickBot="1" x14ac:dyDescent="0.35">
      <c r="A53" s="54"/>
      <c r="B53" s="39">
        <v>51</v>
      </c>
      <c r="C53" s="15">
        <v>1.5436399999999999</v>
      </c>
      <c r="D53" s="47">
        <v>0.96308099999999996</v>
      </c>
      <c r="E53" s="9">
        <v>1.7466759999999999</v>
      </c>
      <c r="F53" s="1">
        <v>-0.86482400000000004</v>
      </c>
      <c r="G53" s="1">
        <v>0.29871500000000001</v>
      </c>
      <c r="H53" s="1">
        <v>1</v>
      </c>
      <c r="I53" s="12">
        <v>54</v>
      </c>
      <c r="J53" s="18" t="str">
        <f t="shared" si="0"/>
        <v>NIE</v>
      </c>
      <c r="K53" s="9">
        <v>1.747374</v>
      </c>
      <c r="L53" s="9">
        <v>-0.87205999999999995</v>
      </c>
      <c r="M53" s="9">
        <v>0.29864099999999999</v>
      </c>
      <c r="N53" s="1">
        <v>1</v>
      </c>
      <c r="O53" s="12">
        <v>58</v>
      </c>
      <c r="P53" s="18" t="str">
        <f t="shared" si="1"/>
        <v>NIE</v>
      </c>
      <c r="Q53" s="15">
        <v>1.746464</v>
      </c>
      <c r="R53" s="1">
        <v>-0.85517399999999999</v>
      </c>
      <c r="S53" s="1">
        <v>0.29897099999999999</v>
      </c>
      <c r="T53" s="1">
        <v>1</v>
      </c>
      <c r="U53" s="1">
        <v>89</v>
      </c>
      <c r="V53" s="12">
        <v>89</v>
      </c>
      <c r="W53" s="18" t="str">
        <f t="shared" si="2"/>
        <v>NIE</v>
      </c>
    </row>
    <row r="54" spans="1:23" ht="15" thickBot="1" x14ac:dyDescent="0.35">
      <c r="A54" s="54"/>
      <c r="B54" s="39">
        <v>52</v>
      </c>
      <c r="C54" s="15">
        <v>1.4433990000000001</v>
      </c>
      <c r="D54" s="47">
        <v>1.6855450000000001</v>
      </c>
      <c r="E54" s="9">
        <v>4.1650000000000003E-3</v>
      </c>
      <c r="F54" s="1">
        <v>-1.0030000000000001E-2</v>
      </c>
      <c r="G54" s="1">
        <v>9.3999999999999994E-5</v>
      </c>
      <c r="H54" s="1">
        <v>1</v>
      </c>
      <c r="I54" s="12">
        <v>65</v>
      </c>
      <c r="J54" s="18" t="str">
        <f t="shared" si="0"/>
        <v>TAK</v>
      </c>
      <c r="K54" s="9" t="s">
        <v>23</v>
      </c>
      <c r="L54" s="9" t="e">
        <v>#NAME?</v>
      </c>
      <c r="M54" s="9" t="s">
        <v>23</v>
      </c>
      <c r="N54" s="1">
        <v>1</v>
      </c>
      <c r="O54" s="12">
        <v>46</v>
      </c>
      <c r="P54" s="18" t="e">
        <f t="shared" si="1"/>
        <v>#VALUE!</v>
      </c>
      <c r="Q54" s="15">
        <v>1.0728359999999999</v>
      </c>
      <c r="R54" s="1">
        <v>-0.51702999999999999</v>
      </c>
      <c r="S54" s="1">
        <v>0.87772600000000001</v>
      </c>
      <c r="T54" s="1">
        <v>1</v>
      </c>
      <c r="U54" s="1">
        <v>94</v>
      </c>
      <c r="V54" s="12">
        <v>94</v>
      </c>
      <c r="W54" s="18" t="str">
        <f t="shared" si="2"/>
        <v>NIE</v>
      </c>
    </row>
    <row r="55" spans="1:23" ht="15" thickBot="1" x14ac:dyDescent="0.35">
      <c r="A55" s="54"/>
      <c r="B55" s="39">
        <v>53</v>
      </c>
      <c r="C55" s="15">
        <v>7.2400000000000003E-4</v>
      </c>
      <c r="D55" s="47">
        <v>1.457938</v>
      </c>
      <c r="E55" s="9">
        <v>-4.3410000000000002E-3</v>
      </c>
      <c r="F55" s="1">
        <v>1.048E-2</v>
      </c>
      <c r="G55" s="1">
        <v>1.02E-4</v>
      </c>
      <c r="H55" s="1">
        <v>1</v>
      </c>
      <c r="I55" s="12">
        <v>58</v>
      </c>
      <c r="J55" s="18" t="str">
        <f t="shared" si="0"/>
        <v>TAK</v>
      </c>
      <c r="K55" s="9">
        <v>-4.7100000000000001E-4</v>
      </c>
      <c r="L55" s="9">
        <v>1.8389999999999999E-3</v>
      </c>
      <c r="M55" s="9">
        <v>3.0000000000000001E-6</v>
      </c>
      <c r="N55" s="1">
        <v>1</v>
      </c>
      <c r="O55" s="12">
        <v>61</v>
      </c>
      <c r="P55" s="18" t="str">
        <f t="shared" si="1"/>
        <v>TAK</v>
      </c>
      <c r="Q55" s="15">
        <v>9.0000000000000002E-6</v>
      </c>
      <c r="R55" s="1">
        <v>1.8631000000000002E-2</v>
      </c>
      <c r="S55" s="1">
        <v>3.4699999999999998E-4</v>
      </c>
      <c r="T55" s="1">
        <v>1</v>
      </c>
      <c r="U55" s="1">
        <v>85</v>
      </c>
      <c r="V55" s="12">
        <v>85</v>
      </c>
      <c r="W55" s="18" t="str">
        <f t="shared" si="2"/>
        <v>TAK</v>
      </c>
    </row>
    <row r="56" spans="1:23" ht="15" thickBot="1" x14ac:dyDescent="0.35">
      <c r="A56" s="54"/>
      <c r="B56" s="39">
        <v>54</v>
      </c>
      <c r="C56" s="15">
        <v>0.54077299999999995</v>
      </c>
      <c r="D56" s="47">
        <v>0.67360200000000003</v>
      </c>
      <c r="E56" s="9">
        <v>-4.2500000000000003E-3</v>
      </c>
      <c r="F56" s="1">
        <v>1.0309E-2</v>
      </c>
      <c r="G56" s="1">
        <v>9.8999999999999994E-5</v>
      </c>
      <c r="H56" s="1">
        <v>1</v>
      </c>
      <c r="I56" s="12">
        <v>43</v>
      </c>
      <c r="J56" s="18" t="str">
        <f t="shared" si="0"/>
        <v>TAK</v>
      </c>
      <c r="K56" s="9">
        <v>-1.2470000000000001E-3</v>
      </c>
      <c r="L56" s="9">
        <v>3.3930000000000002E-3</v>
      </c>
      <c r="M56" s="9">
        <v>1.0000000000000001E-5</v>
      </c>
      <c r="N56" s="1">
        <v>1</v>
      </c>
      <c r="O56" s="12">
        <v>49</v>
      </c>
      <c r="P56" s="18" t="str">
        <f t="shared" si="1"/>
        <v>TAK</v>
      </c>
      <c r="Q56" s="15">
        <v>5.6360000000000004E-3</v>
      </c>
      <c r="R56" s="1">
        <v>1.7330000000000002E-2</v>
      </c>
      <c r="S56" s="1">
        <v>4.6200000000000001E-4</v>
      </c>
      <c r="T56" s="1">
        <v>1</v>
      </c>
      <c r="U56" s="1">
        <v>75</v>
      </c>
      <c r="V56" s="12">
        <v>75</v>
      </c>
      <c r="W56" s="18" t="str">
        <f t="shared" si="2"/>
        <v>TAK</v>
      </c>
    </row>
    <row r="57" spans="1:23" ht="15" thickBot="1" x14ac:dyDescent="0.35">
      <c r="A57" s="54"/>
      <c r="B57" s="39">
        <v>55</v>
      </c>
      <c r="C57" s="15">
        <v>1.3612649999999999</v>
      </c>
      <c r="D57" s="47">
        <v>1.247986</v>
      </c>
      <c r="E57" s="9">
        <v>4.117E-3</v>
      </c>
      <c r="F57" s="1">
        <v>-9.9240000000000005E-3</v>
      </c>
      <c r="G57" s="1">
        <v>9.2E-5</v>
      </c>
      <c r="H57" s="1">
        <v>1</v>
      </c>
      <c r="I57" s="12">
        <v>69</v>
      </c>
      <c r="J57" s="18" t="str">
        <f t="shared" si="0"/>
        <v>TAK</v>
      </c>
      <c r="K57" s="9" t="s">
        <v>23</v>
      </c>
      <c r="L57" s="9" t="e">
        <v>#NAME?</v>
      </c>
      <c r="M57" s="9" t="s">
        <v>23</v>
      </c>
      <c r="N57" s="1">
        <v>1</v>
      </c>
      <c r="O57" s="12">
        <v>46</v>
      </c>
      <c r="P57" s="18" t="e">
        <f t="shared" si="1"/>
        <v>#VALUE!</v>
      </c>
      <c r="Q57" s="15">
        <v>1.0732539999999999</v>
      </c>
      <c r="R57" s="1">
        <v>-0.51655200000000001</v>
      </c>
      <c r="S57" s="1">
        <v>0.87774799999999997</v>
      </c>
      <c r="T57" s="1">
        <v>1</v>
      </c>
      <c r="U57" s="1">
        <v>89</v>
      </c>
      <c r="V57" s="12">
        <v>89</v>
      </c>
      <c r="W57" s="18" t="str">
        <f t="shared" si="2"/>
        <v>NIE</v>
      </c>
    </row>
    <row r="58" spans="1:23" ht="15" thickBot="1" x14ac:dyDescent="0.35">
      <c r="A58" s="54"/>
      <c r="B58" s="39">
        <v>56</v>
      </c>
      <c r="C58" s="15">
        <v>0.55724200000000002</v>
      </c>
      <c r="D58" s="47">
        <v>1.381157</v>
      </c>
      <c r="E58" s="9">
        <v>-4.2440000000000004E-3</v>
      </c>
      <c r="F58" s="1">
        <v>1.0248E-2</v>
      </c>
      <c r="G58" s="1">
        <v>9.7999999999999997E-5</v>
      </c>
      <c r="H58" s="1">
        <v>1</v>
      </c>
      <c r="I58" s="12">
        <v>55</v>
      </c>
      <c r="J58" s="18" t="str">
        <f t="shared" si="0"/>
        <v>TAK</v>
      </c>
      <c r="K58" s="9">
        <v>3.1000000000000001E-5</v>
      </c>
      <c r="L58" s="9">
        <v>1.5679999999999999E-3</v>
      </c>
      <c r="M58" s="9">
        <v>3.0000000000000001E-6</v>
      </c>
      <c r="N58" s="1">
        <v>1</v>
      </c>
      <c r="O58" s="12">
        <v>61</v>
      </c>
      <c r="P58" s="18" t="str">
        <f t="shared" si="1"/>
        <v>TAK</v>
      </c>
      <c r="Q58" s="15">
        <v>-3.1359999999999999E-3</v>
      </c>
      <c r="R58" s="1">
        <v>1.7981E-2</v>
      </c>
      <c r="S58" s="1">
        <v>2.8699999999999998E-4</v>
      </c>
      <c r="T58" s="1">
        <v>1</v>
      </c>
      <c r="U58" s="1">
        <v>90</v>
      </c>
      <c r="V58" s="12">
        <v>90</v>
      </c>
      <c r="W58" s="18" t="str">
        <f t="shared" si="2"/>
        <v>TAK</v>
      </c>
    </row>
    <row r="59" spans="1:23" ht="15" thickBot="1" x14ac:dyDescent="0.35">
      <c r="A59" s="54"/>
      <c r="B59" s="39">
        <v>57</v>
      </c>
      <c r="C59" s="15">
        <v>1.1103369999999999</v>
      </c>
      <c r="D59" s="47">
        <v>1.3444739999999999</v>
      </c>
      <c r="E59" s="9">
        <v>-4.3299999999999996E-3</v>
      </c>
      <c r="F59" s="1">
        <v>1.06E-2</v>
      </c>
      <c r="G59" s="1">
        <v>1.0399999999999999E-4</v>
      </c>
      <c r="H59" s="1">
        <v>1</v>
      </c>
      <c r="I59" s="12">
        <v>44</v>
      </c>
      <c r="J59" s="18" t="str">
        <f t="shared" si="0"/>
        <v>TAK</v>
      </c>
      <c r="K59" s="9">
        <v>-8.1000000000000004E-5</v>
      </c>
      <c r="L59" s="9">
        <v>-1.9650000000000002E-3</v>
      </c>
      <c r="M59" s="9">
        <v>3.9999999999999998E-6</v>
      </c>
      <c r="N59" s="1">
        <v>1</v>
      </c>
      <c r="O59" s="12">
        <v>52</v>
      </c>
      <c r="P59" s="18" t="str">
        <f t="shared" si="1"/>
        <v>TAK</v>
      </c>
      <c r="Q59" s="15">
        <v>1.0709390000000001</v>
      </c>
      <c r="R59" s="1">
        <v>-0.51668499999999995</v>
      </c>
      <c r="S59" s="1">
        <v>0.87771399999999999</v>
      </c>
      <c r="T59" s="1">
        <v>1</v>
      </c>
      <c r="U59" s="1">
        <v>90</v>
      </c>
      <c r="V59" s="12">
        <v>90</v>
      </c>
      <c r="W59" s="18" t="str">
        <f t="shared" si="2"/>
        <v>NIE</v>
      </c>
    </row>
    <row r="60" spans="1:23" ht="15" thickBot="1" x14ac:dyDescent="0.35">
      <c r="A60" s="54"/>
      <c r="B60" s="39">
        <v>58</v>
      </c>
      <c r="C60" s="15">
        <v>0.75705</v>
      </c>
      <c r="D60" s="47">
        <v>1.4816469999999999</v>
      </c>
      <c r="E60" s="9">
        <v>-4.1229999999999999E-3</v>
      </c>
      <c r="F60" s="1">
        <v>9.9550000000000003E-3</v>
      </c>
      <c r="G60" s="1">
        <v>9.2E-5</v>
      </c>
      <c r="H60" s="1">
        <v>1</v>
      </c>
      <c r="I60" s="12">
        <v>55</v>
      </c>
      <c r="J60" s="18" t="str">
        <f t="shared" si="0"/>
        <v>TAK</v>
      </c>
      <c r="K60" s="9">
        <v>-2.4000000000000001E-5</v>
      </c>
      <c r="L60" s="9">
        <v>1.103E-3</v>
      </c>
      <c r="M60" s="9">
        <v>9.9999999999999995E-7</v>
      </c>
      <c r="N60" s="1">
        <v>1</v>
      </c>
      <c r="O60" s="12">
        <v>64</v>
      </c>
      <c r="P60" s="18" t="str">
        <f t="shared" si="1"/>
        <v>TAK</v>
      </c>
      <c r="Q60" s="15">
        <v>1.068276</v>
      </c>
      <c r="R60" s="1">
        <v>-0.51666299999999998</v>
      </c>
      <c r="S60" s="1">
        <v>0.87765599999999999</v>
      </c>
      <c r="T60" s="1">
        <v>1</v>
      </c>
      <c r="U60" s="1">
        <v>91</v>
      </c>
      <c r="V60" s="12">
        <v>91</v>
      </c>
      <c r="W60" s="18" t="str">
        <f t="shared" si="2"/>
        <v>NIE</v>
      </c>
    </row>
    <row r="61" spans="1:23" ht="15" thickBot="1" x14ac:dyDescent="0.35">
      <c r="A61" s="54"/>
      <c r="B61" s="39">
        <v>59</v>
      </c>
      <c r="C61" s="15">
        <v>1.9766539999999999</v>
      </c>
      <c r="D61" s="47">
        <v>1.1026389999999999</v>
      </c>
      <c r="E61" s="9">
        <v>1.7466489999999999</v>
      </c>
      <c r="F61" s="1">
        <v>-0.86454200000000003</v>
      </c>
      <c r="G61" s="1">
        <v>0.29871999999999999</v>
      </c>
      <c r="H61" s="1">
        <v>1</v>
      </c>
      <c r="I61" s="12">
        <v>54</v>
      </c>
      <c r="J61" s="18" t="str">
        <f t="shared" si="0"/>
        <v>NIE</v>
      </c>
      <c r="K61" s="9">
        <v>1.7470950000000001</v>
      </c>
      <c r="L61" s="9">
        <v>-0.87085699999999999</v>
      </c>
      <c r="M61" s="9">
        <v>0.298647</v>
      </c>
      <c r="N61" s="1">
        <v>1</v>
      </c>
      <c r="O61" s="12">
        <v>34</v>
      </c>
      <c r="P61" s="18" t="str">
        <f t="shared" si="1"/>
        <v>NIE</v>
      </c>
      <c r="Q61" s="15">
        <v>1.7513609999999999</v>
      </c>
      <c r="R61" s="1">
        <v>-0.85603799999999997</v>
      </c>
      <c r="S61" s="1">
        <v>0.29910900000000001</v>
      </c>
      <c r="T61" s="1">
        <v>1</v>
      </c>
      <c r="U61" s="1">
        <v>91</v>
      </c>
      <c r="V61" s="12">
        <v>91</v>
      </c>
      <c r="W61" s="18" t="str">
        <f t="shared" si="2"/>
        <v>NIE</v>
      </c>
    </row>
    <row r="62" spans="1:23" ht="15" thickBot="1" x14ac:dyDescent="0.35">
      <c r="A62" s="54"/>
      <c r="B62" s="39">
        <v>60</v>
      </c>
      <c r="C62" s="15">
        <v>1.6114569999999999</v>
      </c>
      <c r="D62" s="47">
        <v>1.582543</v>
      </c>
      <c r="E62" s="9">
        <v>1.7466539999999999</v>
      </c>
      <c r="F62" s="1">
        <v>-0.86460199999999998</v>
      </c>
      <c r="G62" s="1">
        <v>0.29871900000000001</v>
      </c>
      <c r="H62" s="1">
        <v>1</v>
      </c>
      <c r="I62" s="12">
        <v>57</v>
      </c>
      <c r="J62" s="18" t="str">
        <f t="shared" si="0"/>
        <v>NIE</v>
      </c>
      <c r="K62" s="9" t="s">
        <v>23</v>
      </c>
      <c r="L62" s="9" t="s">
        <v>23</v>
      </c>
      <c r="M62" s="9" t="s">
        <v>23</v>
      </c>
      <c r="N62" s="1">
        <v>1</v>
      </c>
      <c r="O62" s="12">
        <v>70</v>
      </c>
      <c r="P62" s="18" t="e">
        <f t="shared" si="1"/>
        <v>#VALUE!</v>
      </c>
      <c r="Q62" s="15">
        <v>1.7468669999999999</v>
      </c>
      <c r="R62" s="1">
        <v>-0.85516000000000003</v>
      </c>
      <c r="S62" s="1">
        <v>0.29897499999999999</v>
      </c>
      <c r="T62" s="1">
        <v>1</v>
      </c>
      <c r="U62" s="1">
        <v>95</v>
      </c>
      <c r="V62" s="12">
        <v>95</v>
      </c>
      <c r="W62" s="18" t="str">
        <f t="shared" si="2"/>
        <v>NIE</v>
      </c>
    </row>
    <row r="63" spans="1:23" ht="15" thickBot="1" x14ac:dyDescent="0.35">
      <c r="A63" s="54"/>
      <c r="B63" s="39">
        <v>61</v>
      </c>
      <c r="C63" s="15">
        <v>0.33118999999999998</v>
      </c>
      <c r="D63" s="47">
        <v>0.32004899999999997</v>
      </c>
      <c r="E63" s="9">
        <v>-4.2919999999999998E-3</v>
      </c>
      <c r="F63" s="1">
        <v>1.0763999999999999E-2</v>
      </c>
      <c r="G63" s="1">
        <v>1.07E-4</v>
      </c>
      <c r="H63" s="1">
        <v>1</v>
      </c>
      <c r="I63" s="12">
        <v>32</v>
      </c>
      <c r="J63" s="18" t="str">
        <f t="shared" si="0"/>
        <v>TAK</v>
      </c>
      <c r="K63" s="9">
        <v>-1.059E-3</v>
      </c>
      <c r="L63" s="9">
        <v>1.7750000000000001E-3</v>
      </c>
      <c r="M63" s="9">
        <v>3.9999999999999998E-6</v>
      </c>
      <c r="N63" s="1">
        <v>1</v>
      </c>
      <c r="O63" s="12">
        <v>46</v>
      </c>
      <c r="P63" s="18" t="str">
        <f t="shared" si="1"/>
        <v>TAK</v>
      </c>
      <c r="Q63" s="15">
        <v>1.1854E-2</v>
      </c>
      <c r="R63" s="1">
        <v>1.4265E-2</v>
      </c>
      <c r="S63" s="1">
        <v>6.5399999999999996E-4</v>
      </c>
      <c r="T63" s="1">
        <v>1</v>
      </c>
      <c r="U63" s="1">
        <v>62</v>
      </c>
      <c r="V63" s="12">
        <v>62</v>
      </c>
      <c r="W63" s="18" t="str">
        <f t="shared" si="2"/>
        <v>TAK</v>
      </c>
    </row>
    <row r="64" spans="1:23" ht="15" thickBot="1" x14ac:dyDescent="0.35">
      <c r="A64" s="54"/>
      <c r="B64" s="39">
        <v>62</v>
      </c>
      <c r="C64" s="15">
        <v>1.1179410000000001</v>
      </c>
      <c r="D64" s="47">
        <v>0.46353100000000003</v>
      </c>
      <c r="E64" s="9">
        <v>4.431E-3</v>
      </c>
      <c r="F64" s="1">
        <v>-1.0638999999999999E-2</v>
      </c>
      <c r="G64" s="1">
        <v>1.05E-4</v>
      </c>
      <c r="H64" s="1">
        <v>1</v>
      </c>
      <c r="I64" s="12">
        <v>51</v>
      </c>
      <c r="J64" s="18" t="str">
        <f t="shared" si="0"/>
        <v>TAK</v>
      </c>
      <c r="K64" s="9" t="s">
        <v>23</v>
      </c>
      <c r="L64" s="9" t="s">
        <v>23</v>
      </c>
      <c r="M64" s="9" t="s">
        <v>23</v>
      </c>
      <c r="N64" s="1">
        <v>1</v>
      </c>
      <c r="O64" s="12">
        <v>46</v>
      </c>
      <c r="P64" s="18" t="e">
        <f t="shared" si="1"/>
        <v>#VALUE!</v>
      </c>
      <c r="Q64" s="15">
        <v>1.071418</v>
      </c>
      <c r="R64" s="1">
        <v>-0.51699799999999996</v>
      </c>
      <c r="S64" s="1">
        <v>0.87770999999999999</v>
      </c>
      <c r="T64" s="1">
        <v>1</v>
      </c>
      <c r="U64" s="1">
        <v>78</v>
      </c>
      <c r="V64" s="12">
        <v>78</v>
      </c>
      <c r="W64" s="18" t="str">
        <f t="shared" si="2"/>
        <v>NIE</v>
      </c>
    </row>
    <row r="65" spans="1:23" ht="15" thickBot="1" x14ac:dyDescent="0.35">
      <c r="A65" s="54"/>
      <c r="B65" s="39">
        <v>63</v>
      </c>
      <c r="C65" s="15">
        <v>1.1178900000000001</v>
      </c>
      <c r="D65" s="47">
        <v>1.9594590000000001</v>
      </c>
      <c r="E65" s="9">
        <v>-4.4029999999999998E-3</v>
      </c>
      <c r="F65" s="1">
        <v>1.0638E-2</v>
      </c>
      <c r="G65" s="1">
        <v>1.05E-4</v>
      </c>
      <c r="H65" s="1">
        <v>1</v>
      </c>
      <c r="I65" s="12">
        <v>55</v>
      </c>
      <c r="J65" s="18" t="str">
        <f t="shared" si="0"/>
        <v>TAK</v>
      </c>
      <c r="K65" s="9">
        <v>-1.1039999999999999E-3</v>
      </c>
      <c r="L65" s="9">
        <v>3.2889999999999998E-3</v>
      </c>
      <c r="M65" s="9">
        <v>1.0000000000000001E-5</v>
      </c>
      <c r="N65" s="1">
        <v>1</v>
      </c>
      <c r="O65" s="12">
        <v>55</v>
      </c>
      <c r="P65" s="18" t="str">
        <f t="shared" si="1"/>
        <v>TAK</v>
      </c>
      <c r="Q65" s="15">
        <v>1.0708899999999999</v>
      </c>
      <c r="R65" s="1">
        <v>-0.51713900000000002</v>
      </c>
      <c r="S65" s="1">
        <v>0.87769600000000003</v>
      </c>
      <c r="T65" s="1">
        <v>1</v>
      </c>
      <c r="U65" s="1">
        <v>96</v>
      </c>
      <c r="V65" s="12">
        <v>96</v>
      </c>
      <c r="W65" s="18" t="str">
        <f t="shared" si="2"/>
        <v>NIE</v>
      </c>
    </row>
    <row r="66" spans="1:23" ht="15" thickBot="1" x14ac:dyDescent="0.35">
      <c r="A66" s="54"/>
      <c r="B66" s="39">
        <v>64</v>
      </c>
      <c r="C66" s="15">
        <v>4.1554000000000001E-2</v>
      </c>
      <c r="D66" s="47">
        <v>0.45926299999999998</v>
      </c>
      <c r="E66" s="9">
        <v>-4.1250000000000002E-3</v>
      </c>
      <c r="F66" s="1">
        <v>9.9679999999999994E-3</v>
      </c>
      <c r="G66" s="1">
        <v>9.2E-5</v>
      </c>
      <c r="H66" s="1">
        <v>1</v>
      </c>
      <c r="I66" s="12">
        <v>44</v>
      </c>
      <c r="J66" s="18" t="str">
        <f t="shared" si="0"/>
        <v>TAK</v>
      </c>
      <c r="K66" s="9">
        <v>-9.2E-5</v>
      </c>
      <c r="L66" s="9">
        <v>1.2110000000000001E-3</v>
      </c>
      <c r="M66" s="9">
        <v>9.9999999999999995E-7</v>
      </c>
      <c r="N66" s="1">
        <v>1</v>
      </c>
      <c r="O66" s="12">
        <v>55</v>
      </c>
      <c r="P66" s="18" t="str">
        <f t="shared" si="1"/>
        <v>TAK</v>
      </c>
      <c r="Q66" s="15">
        <v>1.6379999999999999E-3</v>
      </c>
      <c r="R66" s="1">
        <v>1.8141999999999998E-2</v>
      </c>
      <c r="S66" s="1">
        <v>3.6400000000000001E-4</v>
      </c>
      <c r="T66" s="1">
        <v>1</v>
      </c>
      <c r="U66" s="1">
        <v>63</v>
      </c>
      <c r="V66" s="12">
        <v>63</v>
      </c>
      <c r="W66" s="18" t="str">
        <f t="shared" si="2"/>
        <v>TAK</v>
      </c>
    </row>
    <row r="67" spans="1:23" ht="15" thickBot="1" x14ac:dyDescent="0.35">
      <c r="A67" s="54"/>
      <c r="B67" s="39">
        <v>65</v>
      </c>
      <c r="C67" s="15">
        <v>0.84991700000000003</v>
      </c>
      <c r="D67" s="47">
        <v>0.74174300000000004</v>
      </c>
      <c r="E67" s="9">
        <v>-4.0850000000000001E-3</v>
      </c>
      <c r="F67" s="1">
        <v>1.0401000000000001E-2</v>
      </c>
      <c r="G67" s="1">
        <v>9.8999999999999994E-5</v>
      </c>
      <c r="H67" s="1">
        <v>1</v>
      </c>
      <c r="I67" s="12">
        <v>36</v>
      </c>
      <c r="J67" s="18" t="str">
        <f t="shared" ref="J67:J131" si="3">IF(ABS(G67) &lt; 0.01,"TAK","NIE")</f>
        <v>TAK</v>
      </c>
      <c r="K67" s="9">
        <v>1.3929999999999999E-3</v>
      </c>
      <c r="L67" s="9">
        <v>-7.0699999999999995E-4</v>
      </c>
      <c r="M67" s="9">
        <v>3.0000000000000001E-6</v>
      </c>
      <c r="N67" s="1">
        <v>1</v>
      </c>
      <c r="O67" s="12">
        <v>34</v>
      </c>
      <c r="P67" s="18" t="str">
        <f t="shared" ref="P67:P131" si="4">IF(ABS(M67) &lt; 0.01,"TAK","NIE")</f>
        <v>TAK</v>
      </c>
      <c r="Q67" s="15">
        <v>1.067849</v>
      </c>
      <c r="R67" s="1">
        <v>-0.51740399999999998</v>
      </c>
      <c r="S67" s="1">
        <v>0.87761900000000004</v>
      </c>
      <c r="T67" s="1">
        <v>1</v>
      </c>
      <c r="U67" s="1">
        <v>83</v>
      </c>
      <c r="V67" s="12">
        <v>83</v>
      </c>
      <c r="W67" s="18" t="str">
        <f t="shared" si="2"/>
        <v>NIE</v>
      </c>
    </row>
    <row r="68" spans="1:23" ht="15" thickBot="1" x14ac:dyDescent="0.35">
      <c r="A68" s="54"/>
      <c r="B68" s="39">
        <v>66</v>
      </c>
      <c r="C68" s="15">
        <v>1.6542129999999999</v>
      </c>
      <c r="D68" s="47">
        <v>0.83332499999999998</v>
      </c>
      <c r="E68" s="9">
        <v>1.7466839999999999</v>
      </c>
      <c r="F68" s="1">
        <v>-0.86490199999999995</v>
      </c>
      <c r="G68" s="1">
        <v>0.29871399999999998</v>
      </c>
      <c r="H68" s="1">
        <v>1</v>
      </c>
      <c r="I68" s="12">
        <v>53</v>
      </c>
      <c r="J68" s="18" t="str">
        <f t="shared" si="3"/>
        <v>NIE</v>
      </c>
      <c r="K68" s="9">
        <v>1.747371</v>
      </c>
      <c r="L68" s="9">
        <v>-0.87212500000000004</v>
      </c>
      <c r="M68" s="9">
        <v>0.29864099999999999</v>
      </c>
      <c r="N68" s="1">
        <v>1</v>
      </c>
      <c r="O68" s="12">
        <v>58</v>
      </c>
      <c r="P68" s="18" t="str">
        <f t="shared" si="4"/>
        <v>NIE</v>
      </c>
      <c r="Q68" s="15">
        <v>1.746777</v>
      </c>
      <c r="R68" s="1">
        <v>-0.85519599999999996</v>
      </c>
      <c r="S68" s="1">
        <v>0.29897299999999999</v>
      </c>
      <c r="T68" s="1">
        <v>1</v>
      </c>
      <c r="U68" s="1">
        <v>88</v>
      </c>
      <c r="V68" s="12">
        <v>88</v>
      </c>
      <c r="W68" s="18" t="str">
        <f t="shared" ref="W68:W132" si="5">IF(ABS(S68) &lt; 0.01,"TAK","NIE")</f>
        <v>NIE</v>
      </c>
    </row>
    <row r="69" spans="1:23" ht="15" thickBot="1" x14ac:dyDescent="0.35">
      <c r="A69" s="54"/>
      <c r="B69" s="39">
        <v>67</v>
      </c>
      <c r="C69" s="15">
        <v>0.72856100000000001</v>
      </c>
      <c r="D69" s="47">
        <v>1.1283970000000001</v>
      </c>
      <c r="E69" s="9">
        <v>-4.2919999999999998E-3</v>
      </c>
      <c r="F69" s="1">
        <v>1.0374E-2</v>
      </c>
      <c r="G69" s="1">
        <v>1E-4</v>
      </c>
      <c r="H69" s="1">
        <v>1</v>
      </c>
      <c r="I69" s="12">
        <v>50</v>
      </c>
      <c r="J69" s="18" t="str">
        <f t="shared" si="3"/>
        <v>TAK</v>
      </c>
      <c r="K69" s="9">
        <v>6.2000000000000003E-5</v>
      </c>
      <c r="L69" s="9">
        <v>1.338E-3</v>
      </c>
      <c r="M69" s="9">
        <v>1.9999999999999999E-6</v>
      </c>
      <c r="N69" s="1">
        <v>1</v>
      </c>
      <c r="O69" s="12">
        <v>61</v>
      </c>
      <c r="P69" s="18" t="str">
        <f t="shared" si="4"/>
        <v>TAK</v>
      </c>
      <c r="Q69" s="15">
        <v>1.0676300000000001</v>
      </c>
      <c r="R69" s="1">
        <v>-0.51659900000000003</v>
      </c>
      <c r="S69" s="1">
        <v>0.87763899999999995</v>
      </c>
      <c r="T69" s="1">
        <v>1</v>
      </c>
      <c r="U69" s="1">
        <v>87</v>
      </c>
      <c r="V69" s="12">
        <v>87</v>
      </c>
      <c r="W69" s="18" t="str">
        <f t="shared" si="5"/>
        <v>NIE</v>
      </c>
    </row>
    <row r="70" spans="1:23" ht="15" thickBot="1" x14ac:dyDescent="0.35">
      <c r="A70" s="54"/>
      <c r="B70" s="39">
        <v>68</v>
      </c>
      <c r="C70" s="15">
        <v>0.348771</v>
      </c>
      <c r="D70" s="47">
        <v>0.96657800000000005</v>
      </c>
      <c r="E70" s="9">
        <v>-4.2789999999999998E-3</v>
      </c>
      <c r="F70" s="1">
        <v>1.0333999999999999E-2</v>
      </c>
      <c r="G70" s="1">
        <v>9.8999999999999994E-5</v>
      </c>
      <c r="H70" s="1">
        <v>1</v>
      </c>
      <c r="I70" s="12">
        <v>51</v>
      </c>
      <c r="J70" s="18" t="str">
        <f t="shared" si="3"/>
        <v>TAK</v>
      </c>
      <c r="K70" s="9">
        <v>-3.8000000000000002E-5</v>
      </c>
      <c r="L70" s="9">
        <v>1.134E-3</v>
      </c>
      <c r="M70" s="9">
        <v>9.9999999999999995E-7</v>
      </c>
      <c r="N70" s="1">
        <v>1</v>
      </c>
      <c r="O70" s="12">
        <v>61</v>
      </c>
      <c r="P70" s="18" t="str">
        <f t="shared" si="4"/>
        <v>TAK</v>
      </c>
      <c r="Q70" s="15">
        <v>5.398E-3</v>
      </c>
      <c r="R70" s="1">
        <v>1.8180000000000002E-2</v>
      </c>
      <c r="S70" s="1">
        <v>4.8700000000000002E-4</v>
      </c>
      <c r="T70" s="1">
        <v>1</v>
      </c>
      <c r="U70" s="1">
        <v>78</v>
      </c>
      <c r="V70" s="12">
        <v>78</v>
      </c>
      <c r="W70" s="18" t="str">
        <f t="shared" si="5"/>
        <v>TAK</v>
      </c>
    </row>
    <row r="71" spans="1:23" ht="15" thickBot="1" x14ac:dyDescent="0.35">
      <c r="A71" s="54"/>
      <c r="B71" s="39">
        <v>69</v>
      </c>
      <c r="C71" s="15">
        <v>0.452565</v>
      </c>
      <c r="D71" s="47">
        <v>0.97546299999999997</v>
      </c>
      <c r="E71" s="9">
        <v>-4.4039999999999999E-3</v>
      </c>
      <c r="F71" s="1">
        <v>1.0638E-2</v>
      </c>
      <c r="G71" s="1">
        <v>1.05E-4</v>
      </c>
      <c r="H71" s="1">
        <v>1</v>
      </c>
      <c r="I71" s="12">
        <v>50</v>
      </c>
      <c r="J71" s="18" t="str">
        <f t="shared" si="3"/>
        <v>TAK</v>
      </c>
      <c r="K71" s="9">
        <v>1.5999999999999999E-5</v>
      </c>
      <c r="L71" s="9">
        <v>1.1490000000000001E-3</v>
      </c>
      <c r="M71" s="9">
        <v>9.9999999999999995E-7</v>
      </c>
      <c r="N71" s="1">
        <v>1</v>
      </c>
      <c r="O71" s="12">
        <v>61</v>
      </c>
      <c r="P71" s="18" t="str">
        <f t="shared" si="4"/>
        <v>TAK</v>
      </c>
      <c r="Q71" s="15">
        <v>5.8329999999999996E-3</v>
      </c>
      <c r="R71" s="1">
        <v>1.7975000000000001E-2</v>
      </c>
      <c r="S71" s="1">
        <v>4.9600000000000002E-4</v>
      </c>
      <c r="T71" s="1">
        <v>1</v>
      </c>
      <c r="U71" s="1">
        <v>79</v>
      </c>
      <c r="V71" s="12">
        <v>79</v>
      </c>
      <c r="W71" s="18" t="str">
        <f t="shared" si="5"/>
        <v>TAK</v>
      </c>
    </row>
    <row r="72" spans="1:23" ht="15" thickBot="1" x14ac:dyDescent="0.35">
      <c r="A72" s="54"/>
      <c r="B72" s="39">
        <v>70</v>
      </c>
      <c r="C72" s="15">
        <v>1.7217210000000001</v>
      </c>
      <c r="D72" s="47">
        <v>0.94372800000000001</v>
      </c>
      <c r="E72" s="9">
        <v>1.7466330000000001</v>
      </c>
      <c r="F72" s="1">
        <v>-0.86438099999999995</v>
      </c>
      <c r="G72" s="1">
        <v>0.29872300000000002</v>
      </c>
      <c r="H72" s="1">
        <v>1</v>
      </c>
      <c r="I72" s="12">
        <v>53</v>
      </c>
      <c r="J72" s="18" t="str">
        <f t="shared" si="3"/>
        <v>NIE</v>
      </c>
      <c r="K72" s="9">
        <v>1.747411</v>
      </c>
      <c r="L72" s="9">
        <v>-0.87214800000000003</v>
      </c>
      <c r="M72" s="9">
        <v>0.29864099999999999</v>
      </c>
      <c r="N72" s="1">
        <v>1</v>
      </c>
      <c r="O72" s="12">
        <v>58</v>
      </c>
      <c r="P72" s="18" t="str">
        <f t="shared" si="4"/>
        <v>NIE</v>
      </c>
      <c r="Q72" s="15">
        <v>1.7473030000000001</v>
      </c>
      <c r="R72" s="1">
        <v>-0.85486799999999996</v>
      </c>
      <c r="S72" s="1">
        <v>0.29899199999999998</v>
      </c>
      <c r="T72" s="1">
        <v>1</v>
      </c>
      <c r="U72" s="1">
        <v>89</v>
      </c>
      <c r="V72" s="12">
        <v>89</v>
      </c>
      <c r="W72" s="18" t="str">
        <f t="shared" si="5"/>
        <v>NIE</v>
      </c>
    </row>
    <row r="73" spans="1:23" ht="15" thickBot="1" x14ac:dyDescent="0.35">
      <c r="A73" s="54"/>
      <c r="B73" s="39">
        <v>71</v>
      </c>
      <c r="C73" s="15">
        <v>1.130236</v>
      </c>
      <c r="D73" s="47">
        <v>1.431152</v>
      </c>
      <c r="E73" s="9">
        <v>-4.1200000000000004E-3</v>
      </c>
      <c r="F73" s="1">
        <v>1.004E-2</v>
      </c>
      <c r="G73" s="1">
        <v>9.2999999999999997E-5</v>
      </c>
      <c r="H73" s="1">
        <v>1</v>
      </c>
      <c r="I73" s="12">
        <v>46</v>
      </c>
      <c r="J73" s="18" t="str">
        <f t="shared" si="3"/>
        <v>TAK</v>
      </c>
      <c r="K73" s="9">
        <v>-1.21E-4</v>
      </c>
      <c r="L73" s="9">
        <v>-2.013E-3</v>
      </c>
      <c r="M73" s="9">
        <v>3.9999999999999998E-6</v>
      </c>
      <c r="N73" s="1">
        <v>1</v>
      </c>
      <c r="O73" s="12">
        <v>52</v>
      </c>
      <c r="P73" s="18" t="str">
        <f t="shared" si="4"/>
        <v>TAK</v>
      </c>
      <c r="Q73" s="15">
        <v>1.0711090000000001</v>
      </c>
      <c r="R73" s="1">
        <v>-0.51680199999999998</v>
      </c>
      <c r="S73" s="1">
        <v>0.87771299999999997</v>
      </c>
      <c r="T73" s="1">
        <v>1</v>
      </c>
      <c r="U73" s="1">
        <v>91</v>
      </c>
      <c r="V73" s="12">
        <v>91</v>
      </c>
      <c r="W73" s="18" t="str">
        <f t="shared" si="5"/>
        <v>NIE</v>
      </c>
    </row>
    <row r="74" spans="1:23" ht="15" thickBot="1" x14ac:dyDescent="0.35">
      <c r="A74" s="54"/>
      <c r="B74" s="39">
        <v>72</v>
      </c>
      <c r="C74" s="15">
        <v>4.4970000000000001E-3</v>
      </c>
      <c r="D74" s="47">
        <v>0.77100000000000002</v>
      </c>
      <c r="E74" s="9">
        <v>-4.3880000000000004E-3</v>
      </c>
      <c r="F74" s="1">
        <v>1.0593999999999999E-2</v>
      </c>
      <c r="G74" s="1">
        <v>1.0399999999999999E-4</v>
      </c>
      <c r="H74" s="1">
        <v>1</v>
      </c>
      <c r="I74" s="12">
        <v>50</v>
      </c>
      <c r="J74" s="18" t="str">
        <f t="shared" si="3"/>
        <v>TAK</v>
      </c>
      <c r="K74" s="9">
        <v>-2.99E-4</v>
      </c>
      <c r="L74" s="9">
        <v>2.0660000000000001E-3</v>
      </c>
      <c r="M74" s="9">
        <v>3.9999999999999998E-6</v>
      </c>
      <c r="N74" s="1">
        <v>1</v>
      </c>
      <c r="O74" s="12">
        <v>55</v>
      </c>
      <c r="P74" s="18" t="str">
        <f t="shared" si="4"/>
        <v>TAK</v>
      </c>
      <c r="Q74" s="15">
        <v>1.06E-4</v>
      </c>
      <c r="R74" s="1">
        <v>1.8234E-2</v>
      </c>
      <c r="S74" s="1">
        <v>3.3399999999999999E-4</v>
      </c>
      <c r="T74" s="1">
        <v>1</v>
      </c>
      <c r="U74" s="1">
        <v>73</v>
      </c>
      <c r="V74" s="12">
        <v>73</v>
      </c>
      <c r="W74" s="18" t="str">
        <f t="shared" si="5"/>
        <v>TAK</v>
      </c>
    </row>
    <row r="75" spans="1:23" ht="15" thickBot="1" x14ac:dyDescent="0.35">
      <c r="A75" s="54"/>
      <c r="B75" s="39">
        <v>73</v>
      </c>
      <c r="C75" s="15">
        <v>1.575998</v>
      </c>
      <c r="D75" s="47">
        <v>0.37773099999999998</v>
      </c>
      <c r="E75" s="9">
        <v>1.7466900000000001</v>
      </c>
      <c r="F75" s="1">
        <v>-0.86495999999999995</v>
      </c>
      <c r="G75" s="1">
        <v>0.29871300000000001</v>
      </c>
      <c r="H75" s="1">
        <v>1</v>
      </c>
      <c r="I75" s="12">
        <v>50</v>
      </c>
      <c r="J75" s="18" t="str">
        <f t="shared" si="3"/>
        <v>NIE</v>
      </c>
      <c r="K75" s="9">
        <v>1.747233</v>
      </c>
      <c r="L75" s="9">
        <v>-0.87175899999999995</v>
      </c>
      <c r="M75" s="9">
        <v>0.29864200000000002</v>
      </c>
      <c r="N75" s="1">
        <v>1</v>
      </c>
      <c r="O75" s="12">
        <v>55</v>
      </c>
      <c r="P75" s="18" t="str">
        <f t="shared" si="4"/>
        <v>NIE</v>
      </c>
      <c r="Q75" s="15">
        <v>1.7460640000000001</v>
      </c>
      <c r="R75" s="1">
        <v>-0.855657</v>
      </c>
      <c r="S75" s="1">
        <v>0.29895300000000002</v>
      </c>
      <c r="T75" s="1">
        <v>1</v>
      </c>
      <c r="U75" s="1">
        <v>82</v>
      </c>
      <c r="V75" s="12">
        <v>82</v>
      </c>
      <c r="W75" s="18" t="str">
        <f t="shared" si="5"/>
        <v>NIE</v>
      </c>
    </row>
    <row r="76" spans="1:23" ht="15" thickBot="1" x14ac:dyDescent="0.35">
      <c r="A76" s="54"/>
      <c r="B76" s="39">
        <v>74</v>
      </c>
      <c r="C76" s="15">
        <v>0.925427</v>
      </c>
      <c r="D76" s="47">
        <v>1.8567149999999999</v>
      </c>
      <c r="E76" s="9">
        <v>-4.2430000000000002E-3</v>
      </c>
      <c r="F76" s="1">
        <v>1.0245000000000001E-2</v>
      </c>
      <c r="G76" s="1">
        <v>9.7999999999999997E-5</v>
      </c>
      <c r="H76" s="1">
        <v>1</v>
      </c>
      <c r="I76" s="12">
        <v>57</v>
      </c>
      <c r="J76" s="18" t="str">
        <f t="shared" si="3"/>
        <v>TAK</v>
      </c>
      <c r="K76" s="9">
        <v>1.9999999999999999E-6</v>
      </c>
      <c r="L76" s="9">
        <v>1.322E-3</v>
      </c>
      <c r="M76" s="9">
        <v>1.9999999999999999E-6</v>
      </c>
      <c r="N76" s="1">
        <v>1</v>
      </c>
      <c r="O76" s="12">
        <v>64</v>
      </c>
      <c r="P76" s="18" t="str">
        <f t="shared" si="4"/>
        <v>TAK</v>
      </c>
      <c r="Q76" s="15">
        <v>1.0695159999999999</v>
      </c>
      <c r="R76" s="1">
        <v>-0.517011</v>
      </c>
      <c r="S76" s="1">
        <v>0.87767399999999995</v>
      </c>
      <c r="T76" s="1">
        <v>1</v>
      </c>
      <c r="U76" s="1">
        <v>95</v>
      </c>
      <c r="V76" s="12">
        <v>95</v>
      </c>
      <c r="W76" s="18" t="str">
        <f t="shared" si="5"/>
        <v>NIE</v>
      </c>
    </row>
    <row r="77" spans="1:23" ht="15" thickBot="1" x14ac:dyDescent="0.35">
      <c r="A77" s="54"/>
      <c r="B77" s="39">
        <v>75</v>
      </c>
      <c r="C77" s="15">
        <v>1.963784</v>
      </c>
      <c r="D77" s="47">
        <v>0.67293599999999998</v>
      </c>
      <c r="E77" s="9">
        <v>1.746705</v>
      </c>
      <c r="F77" s="1">
        <v>-0.86511199999999999</v>
      </c>
      <c r="G77" s="1">
        <v>0.298711</v>
      </c>
      <c r="H77" s="1">
        <v>1</v>
      </c>
      <c r="I77" s="12">
        <v>52</v>
      </c>
      <c r="J77" s="18" t="str">
        <f t="shared" si="3"/>
        <v>NIE</v>
      </c>
      <c r="K77" s="9">
        <v>1.7473810000000001</v>
      </c>
      <c r="L77" s="9">
        <v>-0.87199700000000002</v>
      </c>
      <c r="M77" s="9">
        <v>0.29864099999999999</v>
      </c>
      <c r="N77" s="1">
        <v>1</v>
      </c>
      <c r="O77" s="12">
        <v>58</v>
      </c>
      <c r="P77" s="18" t="str">
        <f t="shared" si="4"/>
        <v>NIE</v>
      </c>
      <c r="Q77" s="15">
        <v>1.7520530000000001</v>
      </c>
      <c r="R77" s="1">
        <v>-0.85593600000000003</v>
      </c>
      <c r="S77" s="1">
        <v>0.29916100000000001</v>
      </c>
      <c r="T77" s="1">
        <v>1</v>
      </c>
      <c r="U77" s="1">
        <v>86</v>
      </c>
      <c r="V77" s="12">
        <v>86</v>
      </c>
      <c r="W77" s="18" t="str">
        <f t="shared" si="5"/>
        <v>NIE</v>
      </c>
    </row>
    <row r="78" spans="1:23" ht="15" thickBot="1" x14ac:dyDescent="0.35">
      <c r="A78" s="54"/>
      <c r="B78" s="39">
        <v>76</v>
      </c>
      <c r="C78" s="15">
        <v>1.691206</v>
      </c>
      <c r="D78" s="47">
        <v>1.9645490000000001</v>
      </c>
      <c r="E78" s="9">
        <v>1.7466649999999999</v>
      </c>
      <c r="F78" s="1">
        <v>-0.86471399999999998</v>
      </c>
      <c r="G78" s="1">
        <v>0.29871700000000001</v>
      </c>
      <c r="H78" s="1">
        <v>1</v>
      </c>
      <c r="I78" s="12">
        <v>59</v>
      </c>
      <c r="J78" s="18" t="str">
        <f t="shared" si="3"/>
        <v>NIE</v>
      </c>
      <c r="K78" s="9" t="s">
        <v>23</v>
      </c>
      <c r="L78" s="9" t="s">
        <v>23</v>
      </c>
      <c r="M78" s="9" t="s">
        <v>23</v>
      </c>
      <c r="N78" s="1">
        <v>1</v>
      </c>
      <c r="O78" s="12">
        <v>64</v>
      </c>
      <c r="P78" s="18" t="e">
        <f t="shared" si="4"/>
        <v>#VALUE!</v>
      </c>
      <c r="Q78" s="15">
        <v>1.747239</v>
      </c>
      <c r="R78" s="1">
        <v>-0.85518400000000006</v>
      </c>
      <c r="S78" s="1">
        <v>0.29897899999999999</v>
      </c>
      <c r="T78" s="1">
        <v>1</v>
      </c>
      <c r="U78" s="1">
        <v>98</v>
      </c>
      <c r="V78" s="12">
        <v>98</v>
      </c>
      <c r="W78" s="18" t="str">
        <f t="shared" si="5"/>
        <v>NIE</v>
      </c>
    </row>
    <row r="79" spans="1:23" ht="15" thickBot="1" x14ac:dyDescent="0.35">
      <c r="A79" s="54"/>
      <c r="B79" s="39">
        <v>77</v>
      </c>
      <c r="C79" s="15">
        <v>1.9509320000000001</v>
      </c>
      <c r="D79" s="47">
        <v>0.93672599999999995</v>
      </c>
      <c r="E79" s="9">
        <v>1.7466459999999999</v>
      </c>
      <c r="F79" s="1">
        <v>-0.86451199999999995</v>
      </c>
      <c r="G79" s="1">
        <v>0.29872100000000001</v>
      </c>
      <c r="H79" s="1">
        <v>1</v>
      </c>
      <c r="I79" s="12">
        <v>53</v>
      </c>
      <c r="J79" s="18" t="str">
        <f t="shared" si="3"/>
        <v>NIE</v>
      </c>
      <c r="K79" s="9">
        <v>1.7474959999999999</v>
      </c>
      <c r="L79" s="9">
        <v>-0.87224500000000005</v>
      </c>
      <c r="M79" s="9">
        <v>0.29864099999999999</v>
      </c>
      <c r="N79" s="1">
        <v>1</v>
      </c>
      <c r="O79" s="12">
        <v>58</v>
      </c>
      <c r="P79" s="18" t="str">
        <f t="shared" si="4"/>
        <v>NIE</v>
      </c>
      <c r="Q79" s="15">
        <v>1.7510840000000001</v>
      </c>
      <c r="R79" s="1">
        <v>-0.85563900000000004</v>
      </c>
      <c r="S79" s="1">
        <v>0.29910799999999998</v>
      </c>
      <c r="T79" s="1">
        <v>1</v>
      </c>
      <c r="U79" s="1">
        <v>89</v>
      </c>
      <c r="V79" s="12">
        <v>89</v>
      </c>
      <c r="W79" s="18" t="str">
        <f t="shared" si="5"/>
        <v>NIE</v>
      </c>
    </row>
    <row r="80" spans="1:23" ht="15" thickBot="1" x14ac:dyDescent="0.35">
      <c r="A80" s="54"/>
      <c r="B80" s="39">
        <v>78</v>
      </c>
      <c r="C80" s="15">
        <v>0.392488</v>
      </c>
      <c r="D80" s="47">
        <v>1.1048000000000001E-2</v>
      </c>
      <c r="E80" s="9">
        <v>4.3020000000000003E-3</v>
      </c>
      <c r="F80" s="1">
        <v>-1.0009000000000001E-2</v>
      </c>
      <c r="G80" s="1">
        <v>9.3999999999999994E-5</v>
      </c>
      <c r="H80" s="1">
        <v>1</v>
      </c>
      <c r="I80" s="12">
        <v>32</v>
      </c>
      <c r="J80" s="18" t="str">
        <f t="shared" si="3"/>
        <v>TAK</v>
      </c>
      <c r="K80" s="9">
        <v>2.32E-4</v>
      </c>
      <c r="L80" s="9">
        <v>-2.3310000000000002E-3</v>
      </c>
      <c r="M80" s="9">
        <v>5.0000000000000004E-6</v>
      </c>
      <c r="N80" s="1">
        <v>1</v>
      </c>
      <c r="O80" s="12">
        <v>43</v>
      </c>
      <c r="P80" s="18" t="str">
        <f t="shared" si="4"/>
        <v>TAK</v>
      </c>
      <c r="Q80" s="15">
        <v>1.7888000000000001E-2</v>
      </c>
      <c r="R80" s="1">
        <v>2.7810000000000001E-3</v>
      </c>
      <c r="S80" s="1">
        <v>6.9700000000000003E-4</v>
      </c>
      <c r="T80" s="1">
        <v>1</v>
      </c>
      <c r="U80" s="1">
        <v>56</v>
      </c>
      <c r="V80" s="12">
        <v>56</v>
      </c>
      <c r="W80" s="18" t="str">
        <f t="shared" si="5"/>
        <v>TAK</v>
      </c>
    </row>
    <row r="81" spans="1:23" ht="15" thickBot="1" x14ac:dyDescent="0.35">
      <c r="A81" s="54"/>
      <c r="B81" s="39">
        <v>79</v>
      </c>
      <c r="C81" s="15">
        <v>1.701012</v>
      </c>
      <c r="D81" s="47">
        <v>0.35714200000000002</v>
      </c>
      <c r="E81" s="9">
        <v>1.746637</v>
      </c>
      <c r="F81" s="1">
        <v>-0.86442600000000003</v>
      </c>
      <c r="G81" s="1">
        <v>0.29872199999999999</v>
      </c>
      <c r="H81" s="1">
        <v>1</v>
      </c>
      <c r="I81" s="12">
        <v>49</v>
      </c>
      <c r="J81" s="18" t="str">
        <f t="shared" si="3"/>
        <v>NIE</v>
      </c>
      <c r="K81" s="9">
        <v>1.747328</v>
      </c>
      <c r="L81" s="9">
        <v>-0.871888</v>
      </c>
      <c r="M81" s="9">
        <v>0.29864200000000002</v>
      </c>
      <c r="N81" s="1">
        <v>1</v>
      </c>
      <c r="O81" s="12">
        <v>55</v>
      </c>
      <c r="P81" s="18" t="str">
        <f t="shared" si="4"/>
        <v>NIE</v>
      </c>
      <c r="Q81" s="15">
        <v>1.746945</v>
      </c>
      <c r="R81" s="1">
        <v>-0.85547300000000004</v>
      </c>
      <c r="S81" s="1">
        <v>0.29896499999999998</v>
      </c>
      <c r="T81" s="1">
        <v>1</v>
      </c>
      <c r="U81" s="1">
        <v>82</v>
      </c>
      <c r="V81" s="12">
        <v>82</v>
      </c>
      <c r="W81" s="18" t="str">
        <f t="shared" si="5"/>
        <v>NIE</v>
      </c>
    </row>
    <row r="82" spans="1:23" ht="15" thickBot="1" x14ac:dyDescent="0.35">
      <c r="A82" s="54"/>
      <c r="B82" s="39">
        <v>80</v>
      </c>
      <c r="C82" s="15">
        <v>1.3423849999999999</v>
      </c>
      <c r="D82" s="47">
        <v>1.4493480000000001</v>
      </c>
      <c r="E82" s="9">
        <v>4.1739999999999998E-3</v>
      </c>
      <c r="F82" s="1">
        <v>-9.9310000000000006E-3</v>
      </c>
      <c r="G82" s="1">
        <v>9.2E-5</v>
      </c>
      <c r="H82" s="1">
        <v>1</v>
      </c>
      <c r="I82" s="12">
        <v>51</v>
      </c>
      <c r="J82" s="18" t="str">
        <f t="shared" si="3"/>
        <v>TAK</v>
      </c>
      <c r="K82" s="9" t="s">
        <v>23</v>
      </c>
      <c r="L82" s="9" t="s">
        <v>23</v>
      </c>
      <c r="M82" s="9" t="s">
        <v>23</v>
      </c>
      <c r="N82" s="1">
        <v>1</v>
      </c>
      <c r="O82" s="12">
        <v>49</v>
      </c>
      <c r="P82" s="18" t="e">
        <f t="shared" si="4"/>
        <v>#VALUE!</v>
      </c>
      <c r="Q82" s="15">
        <v>1.0728839999999999</v>
      </c>
      <c r="R82" s="1">
        <v>-0.51652200000000004</v>
      </c>
      <c r="S82" s="1">
        <v>0.87774600000000003</v>
      </c>
      <c r="T82" s="1">
        <v>1</v>
      </c>
      <c r="U82" s="1">
        <v>91</v>
      </c>
      <c r="V82" s="12">
        <v>91</v>
      </c>
      <c r="W82" s="18" t="str">
        <f t="shared" si="5"/>
        <v>NIE</v>
      </c>
    </row>
    <row r="83" spans="1:23" ht="15" thickBot="1" x14ac:dyDescent="0.35">
      <c r="A83" s="54"/>
      <c r="B83" s="39">
        <v>81</v>
      </c>
      <c r="C83" s="15">
        <v>1.8145979999999999</v>
      </c>
      <c r="D83" s="47">
        <v>1.3616889999999999</v>
      </c>
      <c r="E83" s="9">
        <v>1.746704</v>
      </c>
      <c r="F83" s="1">
        <v>-0.86511000000000005</v>
      </c>
      <c r="G83" s="1">
        <v>0.298711</v>
      </c>
      <c r="H83" s="1">
        <v>1</v>
      </c>
      <c r="I83" s="12">
        <v>56</v>
      </c>
      <c r="J83" s="18" t="str">
        <f t="shared" si="3"/>
        <v>NIE</v>
      </c>
      <c r="K83" s="9">
        <v>1.7476320000000001</v>
      </c>
      <c r="L83" s="9">
        <v>-0.87568000000000001</v>
      </c>
      <c r="M83" s="9">
        <v>0.29864200000000002</v>
      </c>
      <c r="N83" s="1">
        <v>1</v>
      </c>
      <c r="O83" s="12">
        <v>67</v>
      </c>
      <c r="P83" s="18" t="str">
        <f t="shared" si="4"/>
        <v>NIE</v>
      </c>
      <c r="Q83" s="15">
        <v>1.7482340000000001</v>
      </c>
      <c r="R83" s="1">
        <v>-0.85487999999999997</v>
      </c>
      <c r="S83" s="1">
        <v>0.29901100000000003</v>
      </c>
      <c r="T83" s="1">
        <v>1</v>
      </c>
      <c r="U83" s="1">
        <v>93</v>
      </c>
      <c r="V83" s="12">
        <v>93</v>
      </c>
      <c r="W83" s="18" t="str">
        <f t="shared" si="5"/>
        <v>NIE</v>
      </c>
    </row>
    <row r="84" spans="1:23" ht="15" thickBot="1" x14ac:dyDescent="0.35">
      <c r="A84" s="54"/>
      <c r="B84" s="39">
        <v>82</v>
      </c>
      <c r="C84" s="15">
        <v>1.4426399999999999</v>
      </c>
      <c r="D84" s="47">
        <v>1.465608</v>
      </c>
      <c r="E84" s="9">
        <v>1.7466600000000001</v>
      </c>
      <c r="F84" s="1">
        <v>-0.86465700000000001</v>
      </c>
      <c r="G84" s="1">
        <v>0.29871799999999998</v>
      </c>
      <c r="H84" s="1">
        <v>1</v>
      </c>
      <c r="I84" s="12">
        <v>60</v>
      </c>
      <c r="J84" s="18" t="str">
        <f t="shared" si="3"/>
        <v>NIE</v>
      </c>
      <c r="K84" s="9" t="s">
        <v>23</v>
      </c>
      <c r="L84" s="9" t="s">
        <v>23</v>
      </c>
      <c r="M84" s="9" t="s">
        <v>23</v>
      </c>
      <c r="N84" s="1">
        <v>1</v>
      </c>
      <c r="O84" s="12">
        <v>49</v>
      </c>
      <c r="P84" s="18" t="e">
        <f t="shared" si="4"/>
        <v>#VALUE!</v>
      </c>
      <c r="Q84" s="15">
        <v>1.0730850000000001</v>
      </c>
      <c r="R84" s="1">
        <v>-0.51702599999999999</v>
      </c>
      <c r="S84" s="1">
        <v>0.87772799999999995</v>
      </c>
      <c r="T84" s="1">
        <v>1</v>
      </c>
      <c r="U84" s="1">
        <v>92</v>
      </c>
      <c r="V84" s="12">
        <v>92</v>
      </c>
      <c r="W84" s="18" t="str">
        <f t="shared" si="5"/>
        <v>NIE</v>
      </c>
    </row>
    <row r="85" spans="1:23" ht="15" thickBot="1" x14ac:dyDescent="0.35">
      <c r="A85" s="54"/>
      <c r="B85" s="39">
        <v>83</v>
      </c>
      <c r="C85" s="15">
        <v>1.555304</v>
      </c>
      <c r="D85" s="47">
        <v>1.452644</v>
      </c>
      <c r="E85" s="9">
        <v>1.746691</v>
      </c>
      <c r="F85" s="1">
        <v>-0.86497199999999996</v>
      </c>
      <c r="G85" s="1">
        <v>0.29871300000000001</v>
      </c>
      <c r="H85" s="1">
        <v>1</v>
      </c>
      <c r="I85" s="12">
        <v>57</v>
      </c>
      <c r="J85" s="18" t="str">
        <f t="shared" si="3"/>
        <v>NIE</v>
      </c>
      <c r="K85" s="9">
        <v>1.7477339999999999</v>
      </c>
      <c r="L85" s="9">
        <v>-0.87607599999999997</v>
      </c>
      <c r="M85" s="9">
        <v>0.29864400000000002</v>
      </c>
      <c r="N85" s="1">
        <v>1</v>
      </c>
      <c r="O85" s="12">
        <v>64</v>
      </c>
      <c r="P85" s="18" t="str">
        <f t="shared" si="4"/>
        <v>NIE</v>
      </c>
      <c r="Q85" s="15">
        <v>1.746721</v>
      </c>
      <c r="R85" s="1">
        <v>-0.85539699999999996</v>
      </c>
      <c r="S85" s="1">
        <v>0.29896499999999998</v>
      </c>
      <c r="T85" s="1">
        <v>1</v>
      </c>
      <c r="U85" s="1">
        <v>94</v>
      </c>
      <c r="V85" s="12">
        <v>94</v>
      </c>
      <c r="W85" s="18" t="str">
        <f t="shared" si="5"/>
        <v>NIE</v>
      </c>
    </row>
    <row r="86" spans="1:23" ht="15" thickBot="1" x14ac:dyDescent="0.35">
      <c r="A86" s="54"/>
      <c r="B86" s="39">
        <v>84</v>
      </c>
      <c r="C86" s="15">
        <v>1.5567690000000001</v>
      </c>
      <c r="D86" s="47">
        <v>0.92424799999999996</v>
      </c>
      <c r="E86" s="9">
        <v>1.7467010000000001</v>
      </c>
      <c r="F86" s="1">
        <v>-0.86507699999999998</v>
      </c>
      <c r="G86" s="1">
        <v>0.298711</v>
      </c>
      <c r="H86" s="1">
        <v>1</v>
      </c>
      <c r="I86" s="12">
        <v>54</v>
      </c>
      <c r="J86" s="18" t="str">
        <f t="shared" si="3"/>
        <v>NIE</v>
      </c>
      <c r="K86" s="9">
        <v>1.747374</v>
      </c>
      <c r="L86" s="9">
        <v>-0.87208300000000005</v>
      </c>
      <c r="M86" s="9">
        <v>0.29864099999999999</v>
      </c>
      <c r="N86" s="1">
        <v>1</v>
      </c>
      <c r="O86" s="12">
        <v>58</v>
      </c>
      <c r="P86" s="18" t="str">
        <f t="shared" si="4"/>
        <v>NIE</v>
      </c>
      <c r="Q86" s="15">
        <v>1.7464789999999999</v>
      </c>
      <c r="R86" s="1">
        <v>-0.85551699999999997</v>
      </c>
      <c r="S86" s="1">
        <v>0.29895899999999997</v>
      </c>
      <c r="T86" s="1">
        <v>1</v>
      </c>
      <c r="U86" s="1">
        <v>89</v>
      </c>
      <c r="V86" s="12">
        <v>89</v>
      </c>
      <c r="W86" s="18" t="str">
        <f t="shared" si="5"/>
        <v>NIE</v>
      </c>
    </row>
    <row r="87" spans="1:23" ht="15" thickBot="1" x14ac:dyDescent="0.35">
      <c r="A87" s="54"/>
      <c r="B87" s="39">
        <v>85</v>
      </c>
      <c r="C87" s="15">
        <v>0.40690500000000002</v>
      </c>
      <c r="D87" s="47">
        <v>0.33519900000000002</v>
      </c>
      <c r="E87" s="9">
        <v>-3.9820000000000003E-3</v>
      </c>
      <c r="F87" s="1">
        <v>1.0238000000000001E-2</v>
      </c>
      <c r="G87" s="1">
        <v>9.6000000000000002E-5</v>
      </c>
      <c r="H87" s="1">
        <v>1</v>
      </c>
      <c r="I87" s="12">
        <v>31</v>
      </c>
      <c r="J87" s="18" t="str">
        <f t="shared" si="3"/>
        <v>TAK</v>
      </c>
      <c r="K87" s="9">
        <v>-1.093E-3</v>
      </c>
      <c r="L87" s="9">
        <v>1.4549999999999999E-3</v>
      </c>
      <c r="M87" s="9">
        <v>3.0000000000000001E-6</v>
      </c>
      <c r="N87" s="1">
        <v>1</v>
      </c>
      <c r="O87" s="12">
        <v>46</v>
      </c>
      <c r="P87" s="18" t="str">
        <f t="shared" si="4"/>
        <v>TAK</v>
      </c>
      <c r="Q87" s="15">
        <v>1.2081E-2</v>
      </c>
      <c r="R87" s="1">
        <v>1.4172000000000001E-2</v>
      </c>
      <c r="S87" s="1">
        <v>6.6399999999999999E-4</v>
      </c>
      <c r="T87" s="1">
        <v>1</v>
      </c>
      <c r="U87" s="1">
        <v>64</v>
      </c>
      <c r="V87" s="12">
        <v>64</v>
      </c>
      <c r="W87" s="18" t="str">
        <f t="shared" si="5"/>
        <v>TAK</v>
      </c>
    </row>
    <row r="88" spans="1:23" ht="15" thickBot="1" x14ac:dyDescent="0.35">
      <c r="A88" s="54"/>
      <c r="B88" s="39">
        <v>86</v>
      </c>
      <c r="C88" s="15">
        <v>5.4790999999999999E-2</v>
      </c>
      <c r="D88" s="47">
        <v>0.76201600000000003</v>
      </c>
      <c r="E88" s="9">
        <v>-4.2139999999999999E-3</v>
      </c>
      <c r="F88" s="1">
        <v>1.0174000000000001E-2</v>
      </c>
      <c r="G88" s="1">
        <v>9.6000000000000002E-5</v>
      </c>
      <c r="H88" s="1">
        <v>1</v>
      </c>
      <c r="I88" s="12">
        <v>50</v>
      </c>
      <c r="J88" s="18" t="str">
        <f t="shared" si="3"/>
        <v>TAK</v>
      </c>
      <c r="K88" s="9">
        <v>-2.4899999999999998E-4</v>
      </c>
      <c r="L88" s="9">
        <v>1.405E-3</v>
      </c>
      <c r="M88" s="9">
        <v>1.9999999999999999E-6</v>
      </c>
      <c r="N88" s="1">
        <v>1</v>
      </c>
      <c r="O88" s="12">
        <v>58</v>
      </c>
      <c r="P88" s="18" t="str">
        <f t="shared" si="4"/>
        <v>TAK</v>
      </c>
      <c r="Q88" s="15">
        <v>1.291E-3</v>
      </c>
      <c r="R88" s="1">
        <v>1.8023999999999998E-2</v>
      </c>
      <c r="S88" s="1">
        <v>3.5100000000000002E-4</v>
      </c>
      <c r="T88" s="1">
        <v>1</v>
      </c>
      <c r="U88" s="1">
        <v>73</v>
      </c>
      <c r="V88" s="12">
        <v>73</v>
      </c>
      <c r="W88" s="18" t="str">
        <f t="shared" si="5"/>
        <v>TAK</v>
      </c>
    </row>
    <row r="89" spans="1:23" ht="15" thickBot="1" x14ac:dyDescent="0.35">
      <c r="A89" s="54"/>
      <c r="B89" s="39">
        <v>87</v>
      </c>
      <c r="C89" s="15">
        <v>0.71526699999999999</v>
      </c>
      <c r="D89" s="47">
        <v>6.8710999999999994E-2</v>
      </c>
      <c r="E89" s="9">
        <v>4.4099999999999999E-3</v>
      </c>
      <c r="F89" s="1">
        <v>-1.0507000000000001E-2</v>
      </c>
      <c r="G89" s="1">
        <v>1.03E-4</v>
      </c>
      <c r="H89" s="1">
        <v>1</v>
      </c>
      <c r="I89" s="12">
        <v>40</v>
      </c>
      <c r="J89" s="18" t="str">
        <f t="shared" si="3"/>
        <v>TAK</v>
      </c>
      <c r="K89" s="9">
        <v>-6.4999999999999997E-4</v>
      </c>
      <c r="L89" s="9">
        <v>-9.8499999999999998E-4</v>
      </c>
      <c r="M89" s="9">
        <v>1.9999999999999999E-6</v>
      </c>
      <c r="N89" s="1">
        <v>1</v>
      </c>
      <c r="O89" s="12">
        <v>46</v>
      </c>
      <c r="P89" s="18" t="str">
        <f t="shared" si="4"/>
        <v>TAK</v>
      </c>
      <c r="Q89" s="15">
        <v>1.062676</v>
      </c>
      <c r="R89" s="1">
        <v>-0.51830699999999996</v>
      </c>
      <c r="S89" s="1">
        <v>0.87739599999999995</v>
      </c>
      <c r="T89" s="1">
        <v>1</v>
      </c>
      <c r="U89" s="1">
        <v>68</v>
      </c>
      <c r="V89" s="12">
        <v>68</v>
      </c>
      <c r="W89" s="18" t="str">
        <f t="shared" si="5"/>
        <v>NIE</v>
      </c>
    </row>
    <row r="90" spans="1:23" ht="15" thickBot="1" x14ac:dyDescent="0.35">
      <c r="A90" s="54"/>
      <c r="B90" s="39">
        <v>88</v>
      </c>
      <c r="C90" s="15">
        <v>0.50640399999999997</v>
      </c>
      <c r="D90" s="47">
        <v>0.29333999999999999</v>
      </c>
      <c r="E90" s="9">
        <v>-9.68E-4</v>
      </c>
      <c r="F90" s="1">
        <v>8.0099999999999998E-3</v>
      </c>
      <c r="G90" s="1">
        <v>5.8E-5</v>
      </c>
      <c r="H90" s="1">
        <v>1</v>
      </c>
      <c r="I90" s="12">
        <v>23</v>
      </c>
      <c r="J90" s="18" t="str">
        <f t="shared" si="3"/>
        <v>TAK</v>
      </c>
      <c r="K90" s="9">
        <v>-8.1700000000000002E-4</v>
      </c>
      <c r="L90" s="9">
        <v>5.3799999999999996E-4</v>
      </c>
      <c r="M90" s="9">
        <v>9.9999999999999995E-7</v>
      </c>
      <c r="N90" s="1">
        <v>1</v>
      </c>
      <c r="O90" s="12">
        <v>46</v>
      </c>
      <c r="P90" s="18" t="str">
        <f t="shared" si="4"/>
        <v>TAK</v>
      </c>
      <c r="Q90" s="15">
        <v>1.2626E-2</v>
      </c>
      <c r="R90" s="1">
        <v>1.4196E-2</v>
      </c>
      <c r="S90" s="1">
        <v>6.9999999999999999E-4</v>
      </c>
      <c r="T90" s="1">
        <v>1</v>
      </c>
      <c r="U90" s="1">
        <v>64</v>
      </c>
      <c r="V90" s="12">
        <v>64</v>
      </c>
      <c r="W90" s="18" t="str">
        <f t="shared" si="5"/>
        <v>TAK</v>
      </c>
    </row>
    <row r="91" spans="1:23" ht="15" thickBot="1" x14ac:dyDescent="0.35">
      <c r="A91" s="54"/>
      <c r="B91" s="39">
        <v>89</v>
      </c>
      <c r="C91" s="15">
        <v>1.3428770000000001</v>
      </c>
      <c r="D91" s="47">
        <v>0.12987799999999999</v>
      </c>
      <c r="E91" s="9">
        <v>1.746677</v>
      </c>
      <c r="F91" s="1">
        <v>-0.86483200000000005</v>
      </c>
      <c r="G91" s="1">
        <v>0.29871500000000001</v>
      </c>
      <c r="H91" s="1">
        <v>1</v>
      </c>
      <c r="I91" s="12">
        <v>49</v>
      </c>
      <c r="J91" s="18" t="str">
        <f t="shared" si="3"/>
        <v>NIE</v>
      </c>
      <c r="K91" s="9">
        <v>1.747322</v>
      </c>
      <c r="L91" s="9">
        <v>-0.87184300000000003</v>
      </c>
      <c r="M91" s="9">
        <v>0.29864200000000002</v>
      </c>
      <c r="N91" s="1">
        <v>1</v>
      </c>
      <c r="O91" s="12">
        <v>52</v>
      </c>
      <c r="P91" s="18" t="str">
        <f t="shared" si="4"/>
        <v>NIE</v>
      </c>
      <c r="Q91" s="15">
        <v>1.0770740000000001</v>
      </c>
      <c r="R91" s="1">
        <v>-0.51753899999999997</v>
      </c>
      <c r="S91" s="1">
        <v>0.87770899999999996</v>
      </c>
      <c r="T91" s="1">
        <v>1</v>
      </c>
      <c r="U91" s="1">
        <v>71</v>
      </c>
      <c r="V91" s="12">
        <v>71</v>
      </c>
      <c r="W91" s="18" t="str">
        <f t="shared" si="5"/>
        <v>NIE</v>
      </c>
    </row>
    <row r="92" spans="1:23" ht="15" thickBot="1" x14ac:dyDescent="0.35">
      <c r="A92" s="54"/>
      <c r="B92" s="39">
        <v>90</v>
      </c>
      <c r="C92" s="15">
        <v>1.950469</v>
      </c>
      <c r="D92" s="47">
        <v>1.075696</v>
      </c>
      <c r="E92" s="9">
        <v>1.7466630000000001</v>
      </c>
      <c r="F92" s="1">
        <v>-0.86469399999999996</v>
      </c>
      <c r="G92" s="1">
        <v>0.29871799999999998</v>
      </c>
      <c r="H92" s="1">
        <v>1</v>
      </c>
      <c r="I92" s="12">
        <v>54</v>
      </c>
      <c r="J92" s="18" t="str">
        <f t="shared" si="3"/>
        <v>NIE</v>
      </c>
      <c r="K92" s="9">
        <v>1.747352</v>
      </c>
      <c r="L92" s="9">
        <v>-0.87153199999999997</v>
      </c>
      <c r="M92" s="9">
        <v>0.29864299999999999</v>
      </c>
      <c r="N92" s="1">
        <v>1</v>
      </c>
      <c r="O92" s="12">
        <v>43</v>
      </c>
      <c r="P92" s="18" t="str">
        <f t="shared" si="4"/>
        <v>NIE</v>
      </c>
      <c r="Q92" s="15">
        <v>1.7508980000000001</v>
      </c>
      <c r="R92" s="1">
        <v>-0.85516899999999996</v>
      </c>
      <c r="S92" s="1">
        <v>0.29911500000000002</v>
      </c>
      <c r="T92" s="1">
        <v>1</v>
      </c>
      <c r="U92" s="1">
        <v>90</v>
      </c>
      <c r="V92" s="12">
        <v>90</v>
      </c>
      <c r="W92" s="18" t="str">
        <f t="shared" si="5"/>
        <v>NIE</v>
      </c>
    </row>
    <row r="93" spans="1:23" ht="15" thickBot="1" x14ac:dyDescent="0.35">
      <c r="A93" s="54"/>
      <c r="B93" s="39">
        <v>91</v>
      </c>
      <c r="C93" s="15">
        <v>0.91416600000000003</v>
      </c>
      <c r="D93" s="47">
        <v>1.7538940000000001</v>
      </c>
      <c r="E93" s="9">
        <v>-4.2750000000000002E-3</v>
      </c>
      <c r="F93" s="1">
        <v>1.0324E-2</v>
      </c>
      <c r="G93" s="1">
        <v>9.8999999999999994E-5</v>
      </c>
      <c r="H93" s="1">
        <v>1</v>
      </c>
      <c r="I93" s="12">
        <v>56</v>
      </c>
      <c r="J93" s="18" t="str">
        <f t="shared" si="3"/>
        <v>TAK</v>
      </c>
      <c r="K93" s="9">
        <v>9.0000000000000002E-6</v>
      </c>
      <c r="L93" s="9">
        <v>1.2489999999999999E-3</v>
      </c>
      <c r="M93" s="9">
        <v>1.9999999999999999E-6</v>
      </c>
      <c r="N93" s="1">
        <v>1</v>
      </c>
      <c r="O93" s="12">
        <v>64</v>
      </c>
      <c r="P93" s="18" t="str">
        <f t="shared" si="4"/>
        <v>TAK</v>
      </c>
      <c r="Q93" s="15">
        <v>1.0693889999999999</v>
      </c>
      <c r="R93" s="1">
        <v>-0.51688699999999999</v>
      </c>
      <c r="S93" s="1">
        <v>0.87767600000000001</v>
      </c>
      <c r="T93" s="1">
        <v>1</v>
      </c>
      <c r="U93" s="1">
        <v>94</v>
      </c>
      <c r="V93" s="12">
        <v>94</v>
      </c>
      <c r="W93" s="18" t="str">
        <f t="shared" si="5"/>
        <v>NIE</v>
      </c>
    </row>
    <row r="94" spans="1:23" ht="15" thickBot="1" x14ac:dyDescent="0.35">
      <c r="A94" s="54"/>
      <c r="B94" s="39">
        <v>92</v>
      </c>
      <c r="C94" s="15">
        <v>0.746147</v>
      </c>
      <c r="D94" s="47">
        <v>1.7381770000000001</v>
      </c>
      <c r="E94" s="9">
        <v>-4.365E-3</v>
      </c>
      <c r="F94" s="1">
        <v>1.0538E-2</v>
      </c>
      <c r="G94" s="1">
        <v>1.03E-4</v>
      </c>
      <c r="H94" s="1">
        <v>1</v>
      </c>
      <c r="I94" s="12">
        <v>57</v>
      </c>
      <c r="J94" s="18" t="str">
        <f t="shared" si="3"/>
        <v>TAK</v>
      </c>
      <c r="K94" s="9">
        <v>-4.8999999999999998E-5</v>
      </c>
      <c r="L94" s="9">
        <v>1.2819999999999999E-3</v>
      </c>
      <c r="M94" s="9">
        <v>1.9999999999999999E-6</v>
      </c>
      <c r="N94" s="1">
        <v>1</v>
      </c>
      <c r="O94" s="12">
        <v>64</v>
      </c>
      <c r="P94" s="18" t="str">
        <f t="shared" si="4"/>
        <v>TAK</v>
      </c>
      <c r="Q94" s="15">
        <v>1.068562</v>
      </c>
      <c r="R94" s="1">
        <v>-0.51727699999999999</v>
      </c>
      <c r="S94" s="1">
        <v>0.87764200000000003</v>
      </c>
      <c r="T94" s="1">
        <v>1</v>
      </c>
      <c r="U94" s="1">
        <v>94</v>
      </c>
      <c r="V94" s="12">
        <v>94</v>
      </c>
      <c r="W94" s="18" t="str">
        <f t="shared" si="5"/>
        <v>NIE</v>
      </c>
    </row>
    <row r="95" spans="1:23" ht="15" thickBot="1" x14ac:dyDescent="0.35">
      <c r="A95" s="54"/>
      <c r="B95" s="39">
        <v>93</v>
      </c>
      <c r="C95" s="15">
        <v>0.219277</v>
      </c>
      <c r="D95" s="47">
        <v>1.60449</v>
      </c>
      <c r="E95" s="9">
        <v>-4.1330000000000004E-3</v>
      </c>
      <c r="F95" s="1">
        <v>9.9760000000000005E-3</v>
      </c>
      <c r="G95" s="1">
        <v>9.2E-5</v>
      </c>
      <c r="H95" s="1">
        <v>1</v>
      </c>
      <c r="I95" s="12">
        <v>59</v>
      </c>
      <c r="J95" s="18" t="str">
        <f t="shared" si="3"/>
        <v>TAK</v>
      </c>
      <c r="K95" s="9">
        <v>-1.27E-4</v>
      </c>
      <c r="L95" s="9">
        <v>1.748E-3</v>
      </c>
      <c r="M95" s="9">
        <v>3.0000000000000001E-6</v>
      </c>
      <c r="N95" s="1">
        <v>1</v>
      </c>
      <c r="O95" s="12">
        <v>61</v>
      </c>
      <c r="P95" s="18" t="str">
        <f t="shared" si="4"/>
        <v>TAK</v>
      </c>
      <c r="Q95" s="15">
        <v>2.3730000000000001E-3</v>
      </c>
      <c r="R95" s="1">
        <v>1.8582999999999999E-2</v>
      </c>
      <c r="S95" s="1">
        <v>4.0099999999999999E-4</v>
      </c>
      <c r="T95" s="1">
        <v>1</v>
      </c>
      <c r="U95" s="1">
        <v>87</v>
      </c>
      <c r="V95" s="12">
        <v>87</v>
      </c>
      <c r="W95" s="18" t="str">
        <f t="shared" si="5"/>
        <v>TAK</v>
      </c>
    </row>
    <row r="96" spans="1:23" ht="15" thickBot="1" x14ac:dyDescent="0.35">
      <c r="A96" s="54"/>
      <c r="B96" s="39">
        <v>94</v>
      </c>
      <c r="C96" s="15">
        <v>1.133E-2</v>
      </c>
      <c r="D96" s="47">
        <v>1.282375</v>
      </c>
      <c r="E96" s="9">
        <v>-4.117E-3</v>
      </c>
      <c r="F96" s="1">
        <v>9.9389999999999999E-3</v>
      </c>
      <c r="G96" s="1">
        <v>9.2E-5</v>
      </c>
      <c r="H96" s="1">
        <v>1</v>
      </c>
      <c r="I96" s="12">
        <v>57</v>
      </c>
      <c r="J96" s="18" t="str">
        <f t="shared" si="3"/>
        <v>TAK</v>
      </c>
      <c r="K96" s="9">
        <v>-3.86E-4</v>
      </c>
      <c r="L96" s="9">
        <v>2.2880000000000001E-3</v>
      </c>
      <c r="M96" s="9">
        <v>5.0000000000000004E-6</v>
      </c>
      <c r="N96" s="1">
        <v>1</v>
      </c>
      <c r="O96" s="12">
        <v>58</v>
      </c>
      <c r="P96" s="18" t="str">
        <f t="shared" si="4"/>
        <v>TAK</v>
      </c>
      <c r="Q96" s="15">
        <v>1.6000000000000001E-4</v>
      </c>
      <c r="R96" s="1">
        <v>1.8158000000000001E-2</v>
      </c>
      <c r="S96" s="1">
        <v>3.3300000000000002E-4</v>
      </c>
      <c r="T96" s="1">
        <v>1</v>
      </c>
      <c r="U96" s="1">
        <v>83</v>
      </c>
      <c r="V96" s="12">
        <v>83</v>
      </c>
      <c r="W96" s="18" t="str">
        <f t="shared" si="5"/>
        <v>TAK</v>
      </c>
    </row>
    <row r="97" spans="1:23" ht="15" thickBot="1" x14ac:dyDescent="0.35">
      <c r="A97" s="54"/>
      <c r="B97" s="39">
        <v>95</v>
      </c>
      <c r="C97" s="15">
        <v>0.96303899999999998</v>
      </c>
      <c r="D97" s="47">
        <v>0.93823299999999998</v>
      </c>
      <c r="E97" s="9">
        <v>-4.0340000000000003E-3</v>
      </c>
      <c r="F97" s="1">
        <v>1.0081E-2</v>
      </c>
      <c r="G97" s="1">
        <v>9.3999999999999994E-5</v>
      </c>
      <c r="H97" s="1">
        <v>1</v>
      </c>
      <c r="I97" s="12">
        <v>39</v>
      </c>
      <c r="J97" s="18" t="str">
        <f t="shared" si="3"/>
        <v>TAK</v>
      </c>
      <c r="K97" s="9">
        <v>-1.8E-5</v>
      </c>
      <c r="L97" s="9">
        <v>-1.2160000000000001E-3</v>
      </c>
      <c r="M97" s="9">
        <v>1.9999999999999999E-6</v>
      </c>
      <c r="N97" s="1">
        <v>1</v>
      </c>
      <c r="O97" s="12">
        <v>52</v>
      </c>
      <c r="P97" s="18" t="str">
        <f t="shared" si="4"/>
        <v>TAK</v>
      </c>
      <c r="Q97" s="15">
        <v>1.0692379999999999</v>
      </c>
      <c r="R97" s="1">
        <v>-0.51647500000000002</v>
      </c>
      <c r="S97" s="1">
        <v>0.87768699999999999</v>
      </c>
      <c r="T97" s="1">
        <v>1</v>
      </c>
      <c r="U97" s="1">
        <v>85</v>
      </c>
      <c r="V97" s="12">
        <v>85</v>
      </c>
      <c r="W97" s="18" t="str">
        <f t="shared" si="5"/>
        <v>NIE</v>
      </c>
    </row>
    <row r="98" spans="1:23" ht="15" thickBot="1" x14ac:dyDescent="0.35">
      <c r="A98" s="54"/>
      <c r="B98" s="39">
        <v>96</v>
      </c>
      <c r="C98" s="15">
        <v>0.77731099999999997</v>
      </c>
      <c r="D98" s="47">
        <v>1.939789</v>
      </c>
      <c r="E98" s="9">
        <v>-4.1989999999999996E-3</v>
      </c>
      <c r="F98" s="1">
        <v>1.0137999999999999E-2</v>
      </c>
      <c r="G98" s="1">
        <v>9.5000000000000005E-5</v>
      </c>
      <c r="H98" s="1">
        <v>1</v>
      </c>
      <c r="I98" s="12">
        <v>59</v>
      </c>
      <c r="J98" s="18" t="str">
        <f t="shared" si="3"/>
        <v>TAK</v>
      </c>
      <c r="K98" s="9">
        <v>-4.0000000000000003E-5</v>
      </c>
      <c r="L98" s="9">
        <v>1.4009999999999999E-3</v>
      </c>
      <c r="M98" s="9">
        <v>1.9999999999999999E-6</v>
      </c>
      <c r="N98" s="1">
        <v>1</v>
      </c>
      <c r="O98" s="12">
        <v>64</v>
      </c>
      <c r="P98" s="18" t="str">
        <f t="shared" si="4"/>
        <v>TAK</v>
      </c>
      <c r="Q98" s="15">
        <v>1.068767</v>
      </c>
      <c r="R98" s="1">
        <v>-0.51656800000000003</v>
      </c>
      <c r="S98" s="1">
        <v>0.87767200000000001</v>
      </c>
      <c r="T98" s="1">
        <v>1</v>
      </c>
      <c r="U98" s="1">
        <v>95</v>
      </c>
      <c r="V98" s="12">
        <v>95</v>
      </c>
      <c r="W98" s="18" t="str">
        <f t="shared" si="5"/>
        <v>NIE</v>
      </c>
    </row>
    <row r="99" spans="1:23" ht="15" thickBot="1" x14ac:dyDescent="0.35">
      <c r="A99" s="54"/>
      <c r="B99" s="39">
        <v>97</v>
      </c>
      <c r="C99" s="15">
        <v>1.467149</v>
      </c>
      <c r="D99" s="47">
        <v>0.77199700000000004</v>
      </c>
      <c r="E99" s="9">
        <v>1.7466619999999999</v>
      </c>
      <c r="F99" s="1">
        <v>-0.86467700000000003</v>
      </c>
      <c r="G99" s="1">
        <v>0.29871799999999998</v>
      </c>
      <c r="H99" s="1">
        <v>1</v>
      </c>
      <c r="I99" s="12">
        <v>53</v>
      </c>
      <c r="J99" s="18" t="str">
        <f t="shared" si="3"/>
        <v>NIE</v>
      </c>
      <c r="K99" s="9">
        <v>1.7473970000000001</v>
      </c>
      <c r="L99" s="9">
        <v>-0.87233099999999997</v>
      </c>
      <c r="M99" s="9">
        <v>0.29864000000000002</v>
      </c>
      <c r="N99" s="1">
        <v>1</v>
      </c>
      <c r="O99" s="12">
        <v>58</v>
      </c>
      <c r="P99" s="18" t="str">
        <f t="shared" si="4"/>
        <v>NIE</v>
      </c>
      <c r="Q99" s="15">
        <v>1.0738650000000001</v>
      </c>
      <c r="R99" s="1">
        <v>-0.51668000000000003</v>
      </c>
      <c r="S99" s="1">
        <v>0.87774799999999997</v>
      </c>
      <c r="T99" s="1">
        <v>1</v>
      </c>
      <c r="U99" s="1">
        <v>84</v>
      </c>
      <c r="V99" s="12">
        <v>84</v>
      </c>
      <c r="W99" s="18" t="str">
        <f t="shared" si="5"/>
        <v>NIE</v>
      </c>
    </row>
    <row r="100" spans="1:23" ht="15" thickBot="1" x14ac:dyDescent="0.35">
      <c r="A100" s="54"/>
      <c r="B100" s="39">
        <v>98</v>
      </c>
      <c r="C100" s="15">
        <v>1.4288130000000001</v>
      </c>
      <c r="D100" s="47">
        <v>0.34368500000000002</v>
      </c>
      <c r="E100" s="9">
        <v>1.7466600000000001</v>
      </c>
      <c r="F100" s="1">
        <v>-0.86465800000000004</v>
      </c>
      <c r="G100" s="1">
        <v>0.29871799999999998</v>
      </c>
      <c r="H100" s="1">
        <v>1</v>
      </c>
      <c r="I100" s="12">
        <v>50</v>
      </c>
      <c r="J100" s="18" t="str">
        <f t="shared" si="3"/>
        <v>NIE</v>
      </c>
      <c r="K100" s="9">
        <v>1.747285</v>
      </c>
      <c r="L100" s="9">
        <v>-0.87202199999999996</v>
      </c>
      <c r="M100" s="9">
        <v>0.29864099999999999</v>
      </c>
      <c r="N100" s="1">
        <v>1</v>
      </c>
      <c r="O100" s="12">
        <v>55</v>
      </c>
      <c r="P100" s="18" t="str">
        <f t="shared" si="4"/>
        <v>NIE</v>
      </c>
      <c r="Q100" s="15">
        <v>1.0760350000000001</v>
      </c>
      <c r="R100" s="1">
        <v>-0.51763599999999999</v>
      </c>
      <c r="S100" s="1">
        <v>0.87771100000000002</v>
      </c>
      <c r="T100" s="1">
        <v>1</v>
      </c>
      <c r="U100" s="1">
        <v>77</v>
      </c>
      <c r="V100" s="12">
        <v>77</v>
      </c>
      <c r="W100" s="18" t="str">
        <f t="shared" si="5"/>
        <v>NIE</v>
      </c>
    </row>
    <row r="101" spans="1:23" ht="15" thickBot="1" x14ac:dyDescent="0.35">
      <c r="A101" s="54"/>
      <c r="B101" s="39">
        <v>99</v>
      </c>
      <c r="C101" s="15">
        <v>0.20519299999999999</v>
      </c>
      <c r="D101" s="47">
        <v>0.63719999999999999</v>
      </c>
      <c r="E101" s="9">
        <v>-4.359E-3</v>
      </c>
      <c r="F101" s="1">
        <v>1.0534E-2</v>
      </c>
      <c r="G101" s="1">
        <v>1.03E-4</v>
      </c>
      <c r="H101" s="1">
        <v>1</v>
      </c>
      <c r="I101" s="12">
        <v>46</v>
      </c>
      <c r="J101" s="18" t="str">
        <f t="shared" si="3"/>
        <v>TAK</v>
      </c>
      <c r="K101" s="9">
        <v>1.1E-5</v>
      </c>
      <c r="L101" s="9">
        <v>1.137E-3</v>
      </c>
      <c r="M101" s="9">
        <v>9.9999999999999995E-7</v>
      </c>
      <c r="N101" s="1">
        <v>1</v>
      </c>
      <c r="O101" s="12">
        <v>58</v>
      </c>
      <c r="P101" s="18" t="str">
        <f t="shared" si="4"/>
        <v>TAK</v>
      </c>
      <c r="Q101" s="15">
        <v>5.3540000000000003E-3</v>
      </c>
      <c r="R101" s="1">
        <v>1.7729000000000002E-2</v>
      </c>
      <c r="S101" s="1">
        <v>4.6700000000000002E-4</v>
      </c>
      <c r="T101" s="1">
        <v>1</v>
      </c>
      <c r="U101" s="1">
        <v>70</v>
      </c>
      <c r="V101" s="12">
        <v>70</v>
      </c>
      <c r="W101" s="18" t="str">
        <f t="shared" si="5"/>
        <v>TAK</v>
      </c>
    </row>
    <row r="102" spans="1:23" x14ac:dyDescent="0.3">
      <c r="A102" s="55"/>
      <c r="B102" s="41">
        <v>100</v>
      </c>
      <c r="C102" s="42">
        <v>0.38315500000000002</v>
      </c>
      <c r="D102" s="48">
        <v>0.16636000000000001</v>
      </c>
      <c r="E102" s="43">
        <v>3.1519999999999999E-3</v>
      </c>
      <c r="F102" s="44">
        <v>5.3499999999999999E-4</v>
      </c>
      <c r="G102" s="44">
        <v>2.1999999999999999E-5</v>
      </c>
      <c r="H102" s="44">
        <v>1</v>
      </c>
      <c r="I102" s="52">
        <v>20</v>
      </c>
      <c r="J102" s="18" t="str">
        <f t="shared" si="3"/>
        <v>TAK</v>
      </c>
      <c r="K102" s="43">
        <v>1.5330000000000001E-3</v>
      </c>
      <c r="L102" s="43">
        <v>-2.7910000000000001E-3</v>
      </c>
      <c r="M102" s="43">
        <v>7.9999999999999996E-6</v>
      </c>
      <c r="N102" s="44">
        <v>1</v>
      </c>
      <c r="O102" s="52">
        <v>31</v>
      </c>
      <c r="P102" s="18" t="str">
        <f t="shared" si="4"/>
        <v>TAK</v>
      </c>
      <c r="Q102" s="42">
        <v>1.5935000000000001E-2</v>
      </c>
      <c r="R102" s="44">
        <v>1.0304000000000001E-2</v>
      </c>
      <c r="S102" s="44">
        <v>7.7800000000000005E-4</v>
      </c>
      <c r="T102" s="44">
        <v>1</v>
      </c>
      <c r="U102" s="44">
        <v>58</v>
      </c>
      <c r="V102" s="52">
        <v>58</v>
      </c>
      <c r="W102" s="18" t="str">
        <f t="shared" si="5"/>
        <v>TAK</v>
      </c>
    </row>
    <row r="103" spans="1:23" ht="15" thickBot="1" x14ac:dyDescent="0.35">
      <c r="A103" s="81"/>
      <c r="B103" s="82"/>
      <c r="C103" s="83">
        <f>AVERAGEIF($J3:$J102, "TAK", C3:C102)</f>
        <v>0.61881463235294143</v>
      </c>
      <c r="D103" s="83">
        <f t="shared" ref="D103:I103" si="6">AVERAGEIF($J3:$J102, "TAK", D3:D102)</f>
        <v>0.99973976470588233</v>
      </c>
      <c r="E103" s="83">
        <f t="shared" si="6"/>
        <v>-2.2352941176470601E-3</v>
      </c>
      <c r="F103" s="83">
        <f t="shared" si="6"/>
        <v>6.2816764705882341E-3</v>
      </c>
      <c r="G103" s="83">
        <f t="shared" si="6"/>
        <v>9.2176470588235324E-5</v>
      </c>
      <c r="H103" s="83">
        <f t="shared" si="6"/>
        <v>1</v>
      </c>
      <c r="I103" s="83">
        <f t="shared" si="6"/>
        <v>46.455882352941174</v>
      </c>
      <c r="J103" s="83">
        <f>COUNTIF(J3:J102, "TAK")</f>
        <v>68</v>
      </c>
      <c r="K103" s="83">
        <f>AVERAGEIF($P3:$P102, "TAK", K3:K102)</f>
        <v>-1.8059677419354837E-4</v>
      </c>
      <c r="L103" s="83">
        <f t="shared" ref="L103:O103" si="7">AVERAGEIF($P3:$P102, "TAK", L3:L102)</f>
        <v>8.4611290322580588E-4</v>
      </c>
      <c r="M103" s="83">
        <f t="shared" si="7"/>
        <v>2.8064516129032251E-6</v>
      </c>
      <c r="N103" s="83">
        <f t="shared" si="7"/>
        <v>1</v>
      </c>
      <c r="O103" s="83">
        <f t="shared" si="7"/>
        <v>54.854838709677416</v>
      </c>
      <c r="P103" s="83">
        <f>COUNTIF(P3:P102, "TAK")</f>
        <v>62</v>
      </c>
      <c r="Q103" s="83">
        <f>AVERAGEIF($W3:$W102, "TAK", Q3:Q102)</f>
        <v>5.8207941176470568E-3</v>
      </c>
      <c r="R103" s="83">
        <f t="shared" ref="R103:V103" si="8">AVERAGEIF($W3:$W102, "TAK", R3:R102)</f>
        <v>1.6171323529411766E-2</v>
      </c>
      <c r="S103" s="83">
        <f t="shared" si="8"/>
        <v>4.8094117647058817E-4</v>
      </c>
      <c r="T103" s="83">
        <f t="shared" si="8"/>
        <v>1</v>
      </c>
      <c r="U103" s="83">
        <f t="shared" si="8"/>
        <v>74.029411764705884</v>
      </c>
      <c r="V103" s="83">
        <f t="shared" si="8"/>
        <v>74.029411764705884</v>
      </c>
      <c r="W103" s="83">
        <f>COUNTIF(W3:W102, "TAK")</f>
        <v>34</v>
      </c>
    </row>
    <row r="104" spans="1:23" ht="15" thickBot="1" x14ac:dyDescent="0.35">
      <c r="A104" s="53">
        <v>0.25</v>
      </c>
      <c r="B104" s="38">
        <v>1</v>
      </c>
      <c r="C104" s="21">
        <v>0.105568</v>
      </c>
      <c r="D104" s="46">
        <v>1.0685690000000001</v>
      </c>
      <c r="E104" s="19">
        <v>-5.2599999999999999E-4</v>
      </c>
      <c r="F104" s="17">
        <v>1.2700000000000001E-3</v>
      </c>
      <c r="G104" s="17">
        <v>9.9999999999999995E-7</v>
      </c>
      <c r="H104" s="17">
        <v>1</v>
      </c>
      <c r="I104" s="20">
        <v>13</v>
      </c>
      <c r="J104" s="18" t="str">
        <f t="shared" si="3"/>
        <v>TAK</v>
      </c>
      <c r="K104" s="19">
        <v>-1.8100000000000001E-4</v>
      </c>
      <c r="L104" s="19">
        <v>6.2399999999999999E-4</v>
      </c>
      <c r="M104" s="19">
        <v>0</v>
      </c>
      <c r="N104" s="17">
        <v>1</v>
      </c>
      <c r="O104" s="20">
        <v>23</v>
      </c>
      <c r="P104" s="18" t="str">
        <f t="shared" si="4"/>
        <v>TAK</v>
      </c>
      <c r="Q104" s="21">
        <v>2.4600000000000002E-4</v>
      </c>
      <c r="R104" s="17">
        <v>2.5439999999999998E-3</v>
      </c>
      <c r="S104" s="17">
        <v>6.9999999999999999E-6</v>
      </c>
      <c r="T104" s="17">
        <v>1</v>
      </c>
      <c r="U104" s="17">
        <v>21</v>
      </c>
      <c r="V104" s="20">
        <v>21</v>
      </c>
      <c r="W104" s="18" t="str">
        <f t="shared" si="5"/>
        <v>TAK</v>
      </c>
    </row>
    <row r="105" spans="1:23" ht="15" thickBot="1" x14ac:dyDescent="0.35">
      <c r="A105" s="54"/>
      <c r="B105" s="39">
        <v>2</v>
      </c>
      <c r="C105" s="15">
        <v>0.70198899999999997</v>
      </c>
      <c r="D105" s="47">
        <v>1.229973</v>
      </c>
      <c r="E105" s="9">
        <v>-3.6000000000000002E-4</v>
      </c>
      <c r="F105" s="1">
        <v>8.7000000000000001E-4</v>
      </c>
      <c r="G105" s="1">
        <v>9.9999999999999995E-7</v>
      </c>
      <c r="H105" s="1">
        <v>1</v>
      </c>
      <c r="I105" s="12">
        <v>13</v>
      </c>
      <c r="J105" s="18" t="str">
        <f t="shared" si="3"/>
        <v>TAK</v>
      </c>
      <c r="K105" s="9">
        <v>-3.4E-5</v>
      </c>
      <c r="L105" s="9">
        <v>1.6100000000000001E-4</v>
      </c>
      <c r="M105" s="9">
        <v>0</v>
      </c>
      <c r="N105" s="1">
        <v>1</v>
      </c>
      <c r="O105" s="12">
        <v>25</v>
      </c>
      <c r="P105" s="18" t="str">
        <f t="shared" si="4"/>
        <v>TAK</v>
      </c>
      <c r="Q105" s="15">
        <v>1.0702750000000001</v>
      </c>
      <c r="R105" s="1">
        <v>-0.533022</v>
      </c>
      <c r="S105" s="1">
        <v>0.87736599999999998</v>
      </c>
      <c r="T105" s="1">
        <v>1</v>
      </c>
      <c r="U105" s="1">
        <v>23</v>
      </c>
      <c r="V105" s="12">
        <v>23</v>
      </c>
      <c r="W105" s="18" t="str">
        <f t="shared" si="5"/>
        <v>NIE</v>
      </c>
    </row>
    <row r="106" spans="1:23" ht="15" thickBot="1" x14ac:dyDescent="0.35">
      <c r="A106" s="54"/>
      <c r="B106" s="39">
        <v>3</v>
      </c>
      <c r="C106" s="15">
        <v>0.19878299999999999</v>
      </c>
      <c r="D106" s="47">
        <v>1.4217390000000001</v>
      </c>
      <c r="E106" s="9">
        <v>-4.2400000000000001E-4</v>
      </c>
      <c r="F106" s="1">
        <v>1.0219999999999999E-3</v>
      </c>
      <c r="G106" s="1">
        <v>9.9999999999999995E-7</v>
      </c>
      <c r="H106" s="1">
        <v>1</v>
      </c>
      <c r="I106" s="12">
        <v>14</v>
      </c>
      <c r="J106" s="18" t="str">
        <f t="shared" si="3"/>
        <v>TAK</v>
      </c>
      <c r="K106" s="9">
        <v>-6.8999999999999997E-5</v>
      </c>
      <c r="L106" s="9">
        <v>3.2200000000000002E-4</v>
      </c>
      <c r="M106" s="9">
        <v>0</v>
      </c>
      <c r="N106" s="1">
        <v>1</v>
      </c>
      <c r="O106" s="12">
        <v>25</v>
      </c>
      <c r="P106" s="18" t="str">
        <f t="shared" si="4"/>
        <v>TAK</v>
      </c>
      <c r="Q106" s="15">
        <v>3.2899999999999997E-4</v>
      </c>
      <c r="R106" s="1">
        <v>2.5490000000000001E-3</v>
      </c>
      <c r="S106" s="1">
        <v>7.9999999999999996E-6</v>
      </c>
      <c r="T106" s="1">
        <v>1</v>
      </c>
      <c r="U106" s="1">
        <v>22</v>
      </c>
      <c r="V106" s="12">
        <v>22</v>
      </c>
      <c r="W106" s="18" t="str">
        <f t="shared" si="5"/>
        <v>TAK</v>
      </c>
    </row>
    <row r="107" spans="1:23" ht="15" thickBot="1" x14ac:dyDescent="0.35">
      <c r="A107" s="54"/>
      <c r="B107" s="39">
        <v>4</v>
      </c>
      <c r="C107" s="15">
        <v>1.935991</v>
      </c>
      <c r="D107" s="47">
        <v>1.980685</v>
      </c>
      <c r="E107" s="9">
        <v>-4.7800000000000002E-4</v>
      </c>
      <c r="F107" s="1">
        <v>1.1529999999999999E-3</v>
      </c>
      <c r="G107" s="1">
        <v>9.9999999999999995E-7</v>
      </c>
      <c r="H107" s="1">
        <v>1</v>
      </c>
      <c r="I107" s="12">
        <v>12</v>
      </c>
      <c r="J107" s="18" t="str">
        <f t="shared" si="3"/>
        <v>TAK</v>
      </c>
      <c r="K107" s="9">
        <v>1.2E-5</v>
      </c>
      <c r="L107" s="9">
        <v>3.0600000000000001E-4</v>
      </c>
      <c r="M107" s="9">
        <v>0</v>
      </c>
      <c r="N107" s="1">
        <v>1</v>
      </c>
      <c r="O107" s="12">
        <v>25</v>
      </c>
      <c r="P107" s="18" t="str">
        <f t="shared" si="4"/>
        <v>TAK</v>
      </c>
      <c r="Q107" s="15">
        <v>1.747895</v>
      </c>
      <c r="R107" s="1">
        <v>-0.87098900000000001</v>
      </c>
      <c r="S107" s="1">
        <v>0.29864800000000002</v>
      </c>
      <c r="T107" s="1">
        <v>1</v>
      </c>
      <c r="U107" s="1">
        <v>24</v>
      </c>
      <c r="V107" s="12">
        <v>24</v>
      </c>
      <c r="W107" s="18" t="str">
        <f t="shared" si="5"/>
        <v>NIE</v>
      </c>
    </row>
    <row r="108" spans="1:23" ht="15" thickBot="1" x14ac:dyDescent="0.35">
      <c r="A108" s="54"/>
      <c r="B108" s="39">
        <v>5</v>
      </c>
      <c r="C108" s="15">
        <v>0.28239700000000001</v>
      </c>
      <c r="D108" s="47">
        <v>0.81315800000000005</v>
      </c>
      <c r="E108" s="9">
        <v>-5.6999999999999998E-4</v>
      </c>
      <c r="F108" s="1">
        <v>1.3749999999999999E-3</v>
      </c>
      <c r="G108" s="1">
        <v>1.9999999999999999E-6</v>
      </c>
      <c r="H108" s="1">
        <v>1</v>
      </c>
      <c r="I108" s="12">
        <v>12</v>
      </c>
      <c r="J108" s="18" t="str">
        <f t="shared" si="3"/>
        <v>TAK</v>
      </c>
      <c r="K108" s="9">
        <v>-1.6899999999999999E-4</v>
      </c>
      <c r="L108" s="9">
        <v>5.1999999999999995E-4</v>
      </c>
      <c r="M108" s="9">
        <v>0</v>
      </c>
      <c r="N108" s="1">
        <v>1</v>
      </c>
      <c r="O108" s="12">
        <v>22</v>
      </c>
      <c r="P108" s="18" t="str">
        <f t="shared" si="4"/>
        <v>TAK</v>
      </c>
      <c r="Q108" s="15">
        <v>7.6300000000000001E-4</v>
      </c>
      <c r="R108" s="1">
        <v>2.6450000000000002E-3</v>
      </c>
      <c r="S108" s="1">
        <v>1.0000000000000001E-5</v>
      </c>
      <c r="T108" s="1">
        <v>1</v>
      </c>
      <c r="U108" s="1">
        <v>20</v>
      </c>
      <c r="V108" s="12">
        <v>20</v>
      </c>
      <c r="W108" s="18" t="str">
        <f t="shared" si="5"/>
        <v>TAK</v>
      </c>
    </row>
    <row r="109" spans="1:23" ht="15" thickBot="1" x14ac:dyDescent="0.35">
      <c r="A109" s="54"/>
      <c r="B109" s="39">
        <v>6</v>
      </c>
      <c r="C109" s="15">
        <v>0.91800000000000004</v>
      </c>
      <c r="D109" s="47">
        <v>0.31465799999999999</v>
      </c>
      <c r="E109" s="9">
        <v>3.6499999999999998E-4</v>
      </c>
      <c r="F109" s="1">
        <v>-8.8099999999999995E-4</v>
      </c>
      <c r="G109" s="1">
        <v>9.9999999999999995E-7</v>
      </c>
      <c r="H109" s="1">
        <v>1</v>
      </c>
      <c r="I109" s="12">
        <v>13</v>
      </c>
      <c r="J109" s="18" t="str">
        <f t="shared" si="3"/>
        <v>TAK</v>
      </c>
      <c r="K109" s="9">
        <v>5.0000000000000004E-6</v>
      </c>
      <c r="L109" s="9">
        <v>-7.2400000000000003E-4</v>
      </c>
      <c r="M109" s="9">
        <v>9.9999999999999995E-7</v>
      </c>
      <c r="N109" s="1">
        <v>1</v>
      </c>
      <c r="O109" s="12">
        <v>22</v>
      </c>
      <c r="P109" s="18" t="str">
        <f t="shared" si="4"/>
        <v>TAK</v>
      </c>
      <c r="Q109" s="15">
        <v>1.070111</v>
      </c>
      <c r="R109" s="1">
        <v>-0.53260200000000002</v>
      </c>
      <c r="S109" s="1">
        <v>0.87736700000000001</v>
      </c>
      <c r="T109" s="1">
        <v>1</v>
      </c>
      <c r="U109" s="1">
        <v>20</v>
      </c>
      <c r="V109" s="12">
        <v>20</v>
      </c>
      <c r="W109" s="18" t="str">
        <f t="shared" si="5"/>
        <v>NIE</v>
      </c>
    </row>
    <row r="110" spans="1:23" ht="15" thickBot="1" x14ac:dyDescent="0.35">
      <c r="A110" s="54"/>
      <c r="B110" s="39">
        <v>7</v>
      </c>
      <c r="C110" s="15">
        <v>1.817598</v>
      </c>
      <c r="D110" s="47">
        <v>0.68332499999999996</v>
      </c>
      <c r="E110" s="9">
        <v>1.7475449999999999</v>
      </c>
      <c r="F110" s="1">
        <v>-0.87272099999999997</v>
      </c>
      <c r="G110" s="1">
        <v>0.29864000000000002</v>
      </c>
      <c r="H110" s="1">
        <v>1</v>
      </c>
      <c r="I110" s="12">
        <v>47113</v>
      </c>
      <c r="J110" s="18" t="str">
        <f t="shared" si="3"/>
        <v>NIE</v>
      </c>
      <c r="K110" s="9" t="s">
        <v>23</v>
      </c>
      <c r="L110" s="9" t="s">
        <v>23</v>
      </c>
      <c r="M110" s="9" t="s">
        <v>23</v>
      </c>
      <c r="N110" s="1">
        <v>1</v>
      </c>
      <c r="O110" s="12">
        <v>25</v>
      </c>
      <c r="P110" s="18" t="e">
        <f t="shared" si="4"/>
        <v>#VALUE!</v>
      </c>
      <c r="Q110" s="15">
        <v>1.747711</v>
      </c>
      <c r="R110" s="1">
        <v>-0.87101499999999998</v>
      </c>
      <c r="S110" s="1">
        <v>0.298647</v>
      </c>
      <c r="T110" s="1">
        <v>1</v>
      </c>
      <c r="U110" s="1">
        <v>22</v>
      </c>
      <c r="V110" s="12">
        <v>22</v>
      </c>
      <c r="W110" s="18" t="str">
        <f t="shared" si="5"/>
        <v>NIE</v>
      </c>
    </row>
    <row r="111" spans="1:23" ht="15" thickBot="1" x14ac:dyDescent="0.35">
      <c r="A111" s="54"/>
      <c r="B111" s="39">
        <v>8</v>
      </c>
      <c r="C111" s="15">
        <v>0.53955200000000003</v>
      </c>
      <c r="D111" s="47">
        <v>1.755071</v>
      </c>
      <c r="E111" s="9">
        <v>-4.4499999999999997E-4</v>
      </c>
      <c r="F111" s="1">
        <v>1.075E-3</v>
      </c>
      <c r="G111" s="1">
        <v>9.9999999999999995E-7</v>
      </c>
      <c r="H111" s="1">
        <v>1</v>
      </c>
      <c r="I111" s="12">
        <v>14</v>
      </c>
      <c r="J111" s="18" t="str">
        <f t="shared" si="3"/>
        <v>TAK</v>
      </c>
      <c r="K111" s="9">
        <v>-6.8999999999999997E-5</v>
      </c>
      <c r="L111" s="9">
        <v>3.28E-4</v>
      </c>
      <c r="M111" s="9">
        <v>0</v>
      </c>
      <c r="N111" s="1">
        <v>1</v>
      </c>
      <c r="O111" s="12">
        <v>25</v>
      </c>
      <c r="P111" s="18" t="str">
        <f t="shared" si="4"/>
        <v>TAK</v>
      </c>
      <c r="Q111" s="15">
        <v>-1.070182</v>
      </c>
      <c r="R111" s="1">
        <v>0.53779999999999994</v>
      </c>
      <c r="S111" s="1">
        <v>0.87736899999999995</v>
      </c>
      <c r="T111" s="1">
        <v>1</v>
      </c>
      <c r="U111" s="1">
        <v>23</v>
      </c>
      <c r="V111" s="12">
        <v>23</v>
      </c>
      <c r="W111" s="18" t="str">
        <f t="shared" si="5"/>
        <v>NIE</v>
      </c>
    </row>
    <row r="112" spans="1:23" ht="15" thickBot="1" x14ac:dyDescent="0.35">
      <c r="A112" s="54"/>
      <c r="B112" s="39">
        <v>9</v>
      </c>
      <c r="C112" s="15">
        <v>0.92362999999999995</v>
      </c>
      <c r="D112" s="47">
        <v>1.9765170000000001</v>
      </c>
      <c r="E112" s="9">
        <v>-5.7499999999999999E-4</v>
      </c>
      <c r="F112" s="1">
        <v>1.387E-3</v>
      </c>
      <c r="G112" s="1">
        <v>1.9999999999999999E-6</v>
      </c>
      <c r="H112" s="1">
        <v>1</v>
      </c>
      <c r="I112" s="12">
        <v>13</v>
      </c>
      <c r="J112" s="18" t="str">
        <f t="shared" si="3"/>
        <v>TAK</v>
      </c>
      <c r="K112" s="9">
        <v>5.22E-4</v>
      </c>
      <c r="L112" s="9">
        <v>-3.97E-4</v>
      </c>
      <c r="M112" s="9">
        <v>0</v>
      </c>
      <c r="N112" s="1">
        <v>1</v>
      </c>
      <c r="O112" s="12">
        <v>25</v>
      </c>
      <c r="P112" s="18" t="str">
        <f t="shared" si="4"/>
        <v>TAK</v>
      </c>
      <c r="Q112" s="15">
        <v>1.0704100000000001</v>
      </c>
      <c r="R112" s="1">
        <v>-0.53275799999999995</v>
      </c>
      <c r="S112" s="1">
        <v>0.87736800000000004</v>
      </c>
      <c r="T112" s="1">
        <v>1</v>
      </c>
      <c r="U112" s="1">
        <v>24</v>
      </c>
      <c r="V112" s="12">
        <v>24</v>
      </c>
      <c r="W112" s="18" t="str">
        <f t="shared" si="5"/>
        <v>NIE</v>
      </c>
    </row>
    <row r="113" spans="1:23" ht="15" thickBot="1" x14ac:dyDescent="0.35">
      <c r="A113" s="54"/>
      <c r="B113" s="39">
        <v>10</v>
      </c>
      <c r="C113" s="15">
        <v>0.60305600000000004</v>
      </c>
      <c r="D113" s="47">
        <v>0.32098599999999999</v>
      </c>
      <c r="E113" s="9">
        <v>4.7199999999999998E-4</v>
      </c>
      <c r="F113" s="1">
        <v>-1.139E-3</v>
      </c>
      <c r="G113" s="1">
        <v>9.9999999999999995E-7</v>
      </c>
      <c r="H113" s="1">
        <v>1</v>
      </c>
      <c r="I113" s="12">
        <v>8</v>
      </c>
      <c r="J113" s="18" t="str">
        <f t="shared" si="3"/>
        <v>TAK</v>
      </c>
      <c r="K113" s="9">
        <v>1.8900000000000001E-4</v>
      </c>
      <c r="L113" s="9">
        <v>-1.3899999999999999E-4</v>
      </c>
      <c r="M113" s="9">
        <v>0</v>
      </c>
      <c r="N113" s="1">
        <v>1</v>
      </c>
      <c r="O113" s="12">
        <v>22</v>
      </c>
      <c r="P113" s="18" t="str">
        <f t="shared" si="4"/>
        <v>TAK</v>
      </c>
      <c r="Q113" s="15">
        <v>1.0718700000000001</v>
      </c>
      <c r="R113" s="1">
        <v>-0.53330299999999997</v>
      </c>
      <c r="S113" s="1">
        <v>0.87736499999999995</v>
      </c>
      <c r="T113" s="1">
        <v>1</v>
      </c>
      <c r="U113" s="1">
        <v>19</v>
      </c>
      <c r="V113" s="12">
        <v>19</v>
      </c>
      <c r="W113" s="18" t="str">
        <f t="shared" si="5"/>
        <v>NIE</v>
      </c>
    </row>
    <row r="114" spans="1:23" ht="15" thickBot="1" x14ac:dyDescent="0.35">
      <c r="A114" s="54"/>
      <c r="B114" s="39">
        <v>11</v>
      </c>
      <c r="C114" s="15">
        <v>0.61351</v>
      </c>
      <c r="D114" s="47">
        <v>1.4420000000000001E-2</v>
      </c>
      <c r="E114" s="9">
        <v>5.53E-4</v>
      </c>
      <c r="F114" s="1">
        <v>-1.3339999999999999E-3</v>
      </c>
      <c r="G114" s="1">
        <v>1.9999999999999999E-6</v>
      </c>
      <c r="H114" s="1">
        <v>1</v>
      </c>
      <c r="I114" s="12">
        <v>11</v>
      </c>
      <c r="J114" s="18" t="str">
        <f t="shared" si="3"/>
        <v>TAK</v>
      </c>
      <c r="K114" s="9">
        <v>-4.3000000000000002E-5</v>
      </c>
      <c r="L114" s="9">
        <v>1.34E-4</v>
      </c>
      <c r="M114" s="9">
        <v>0</v>
      </c>
      <c r="N114" s="1">
        <v>1</v>
      </c>
      <c r="O114" s="12">
        <v>25</v>
      </c>
      <c r="P114" s="18" t="str">
        <f t="shared" si="4"/>
        <v>TAK</v>
      </c>
      <c r="Q114" s="15">
        <v>1.072338</v>
      </c>
      <c r="R114" s="1">
        <v>-0.53295000000000003</v>
      </c>
      <c r="S114" s="1">
        <v>0.87736499999999995</v>
      </c>
      <c r="T114" s="1">
        <v>1</v>
      </c>
      <c r="U114" s="1">
        <v>16</v>
      </c>
      <c r="V114" s="12">
        <v>16</v>
      </c>
      <c r="W114" s="18" t="str">
        <f t="shared" si="5"/>
        <v>NIE</v>
      </c>
    </row>
    <row r="115" spans="1:23" ht="15" thickBot="1" x14ac:dyDescent="0.35">
      <c r="A115" s="54"/>
      <c r="B115" s="39">
        <v>12</v>
      </c>
      <c r="C115" s="15">
        <v>0.53008999999999995</v>
      </c>
      <c r="D115" s="47">
        <v>0.71503799999999995</v>
      </c>
      <c r="E115" s="9">
        <v>-5.4199999999999995E-4</v>
      </c>
      <c r="F115" s="1">
        <v>1.3079999999999999E-3</v>
      </c>
      <c r="G115" s="1">
        <v>1.9999999999999999E-6</v>
      </c>
      <c r="H115" s="1">
        <v>1</v>
      </c>
      <c r="I115" s="12">
        <v>11</v>
      </c>
      <c r="J115" s="18" t="str">
        <f t="shared" si="3"/>
        <v>TAK</v>
      </c>
      <c r="K115" s="9">
        <v>-6.6000000000000005E-5</v>
      </c>
      <c r="L115" s="9">
        <v>2.61E-4</v>
      </c>
      <c r="M115" s="9">
        <v>0</v>
      </c>
      <c r="N115" s="1">
        <v>1</v>
      </c>
      <c r="O115" s="12">
        <v>22</v>
      </c>
      <c r="P115" s="18" t="str">
        <f t="shared" si="4"/>
        <v>TAK</v>
      </c>
      <c r="Q115" s="15">
        <v>-8.5999999999999998E-4</v>
      </c>
      <c r="R115" s="1">
        <v>2.761E-3</v>
      </c>
      <c r="S115" s="1">
        <v>6.9999999999999999E-6</v>
      </c>
      <c r="T115" s="1">
        <v>1</v>
      </c>
      <c r="U115" s="1">
        <v>21</v>
      </c>
      <c r="V115" s="12">
        <v>21</v>
      </c>
      <c r="W115" s="18" t="str">
        <f t="shared" si="5"/>
        <v>TAK</v>
      </c>
    </row>
    <row r="116" spans="1:23" ht="15" thickBot="1" x14ac:dyDescent="0.35">
      <c r="A116" s="54"/>
      <c r="B116" s="39">
        <v>13</v>
      </c>
      <c r="C116" s="15">
        <v>1.0320180000000001</v>
      </c>
      <c r="D116" s="47">
        <v>0.30668600000000001</v>
      </c>
      <c r="E116" s="9">
        <v>4.2200000000000001E-4</v>
      </c>
      <c r="F116" s="1">
        <v>-1.018E-3</v>
      </c>
      <c r="G116" s="1">
        <v>9.9999999999999995E-7</v>
      </c>
      <c r="H116" s="1">
        <v>1</v>
      </c>
      <c r="I116" s="12">
        <v>14</v>
      </c>
      <c r="J116" s="18" t="str">
        <f t="shared" si="3"/>
        <v>TAK</v>
      </c>
      <c r="K116" s="9" t="s">
        <v>23</v>
      </c>
      <c r="L116" s="9" t="s">
        <v>23</v>
      </c>
      <c r="M116" s="9" t="s">
        <v>23</v>
      </c>
      <c r="N116" s="1">
        <v>1</v>
      </c>
      <c r="O116" s="12">
        <v>31</v>
      </c>
      <c r="P116" s="18" t="e">
        <f t="shared" si="4"/>
        <v>#VALUE!</v>
      </c>
      <c r="Q116" s="15">
        <v>1.070422</v>
      </c>
      <c r="R116" s="1">
        <v>-0.53260200000000002</v>
      </c>
      <c r="S116" s="1">
        <v>0.87736800000000004</v>
      </c>
      <c r="T116" s="1">
        <v>1</v>
      </c>
      <c r="U116" s="1">
        <v>20</v>
      </c>
      <c r="V116" s="12">
        <v>20</v>
      </c>
      <c r="W116" s="18" t="str">
        <f t="shared" si="5"/>
        <v>NIE</v>
      </c>
    </row>
    <row r="117" spans="1:23" ht="15" thickBot="1" x14ac:dyDescent="0.35">
      <c r="A117" s="54"/>
      <c r="B117" s="39">
        <v>14</v>
      </c>
      <c r="C117" s="15">
        <v>0.81108999999999998</v>
      </c>
      <c r="D117" s="47">
        <v>1.3074110000000001</v>
      </c>
      <c r="E117" s="9">
        <v>-5.3399999999999997E-4</v>
      </c>
      <c r="F117" s="1">
        <v>1.2899999999999999E-3</v>
      </c>
      <c r="G117" s="1">
        <v>1.9999999999999999E-6</v>
      </c>
      <c r="H117" s="1">
        <v>1</v>
      </c>
      <c r="I117" s="12">
        <v>12</v>
      </c>
      <c r="J117" s="18" t="str">
        <f t="shared" si="3"/>
        <v>TAK</v>
      </c>
      <c r="K117" s="9">
        <v>1.92E-4</v>
      </c>
      <c r="L117" s="9">
        <v>-1.4100000000000001E-4</v>
      </c>
      <c r="M117" s="9">
        <v>0</v>
      </c>
      <c r="N117" s="1">
        <v>1</v>
      </c>
      <c r="O117" s="12">
        <v>25</v>
      </c>
      <c r="P117" s="18" t="str">
        <f t="shared" si="4"/>
        <v>TAK</v>
      </c>
      <c r="Q117" s="15">
        <v>1.070279</v>
      </c>
      <c r="R117" s="1">
        <v>-0.53284799999999999</v>
      </c>
      <c r="S117" s="1">
        <v>0.87736700000000001</v>
      </c>
      <c r="T117" s="1">
        <v>1</v>
      </c>
      <c r="U117" s="1">
        <v>23</v>
      </c>
      <c r="V117" s="12">
        <v>23</v>
      </c>
      <c r="W117" s="18" t="str">
        <f t="shared" si="5"/>
        <v>NIE</v>
      </c>
    </row>
    <row r="118" spans="1:23" ht="15" thickBot="1" x14ac:dyDescent="0.35">
      <c r="A118" s="54"/>
      <c r="B118" s="39">
        <v>15</v>
      </c>
      <c r="C118" s="15">
        <v>0.63327999999999995</v>
      </c>
      <c r="D118" s="47">
        <v>0.96486899999999998</v>
      </c>
      <c r="E118" s="9">
        <v>-4.4499999999999997E-4</v>
      </c>
      <c r="F118" s="1">
        <v>1.0740000000000001E-3</v>
      </c>
      <c r="G118" s="1">
        <v>9.9999999999999995E-7</v>
      </c>
      <c r="H118" s="1">
        <v>1</v>
      </c>
      <c r="I118" s="12">
        <v>12</v>
      </c>
      <c r="J118" s="18" t="str">
        <f t="shared" si="3"/>
        <v>TAK</v>
      </c>
      <c r="K118" s="9">
        <v>-3.4E-5</v>
      </c>
      <c r="L118" s="9">
        <v>3.1500000000000001E-4</v>
      </c>
      <c r="M118" s="9">
        <v>0</v>
      </c>
      <c r="N118" s="1">
        <v>1</v>
      </c>
      <c r="O118" s="12">
        <v>22</v>
      </c>
      <c r="P118" s="18" t="str">
        <f t="shared" si="4"/>
        <v>TAK</v>
      </c>
      <c r="Q118" s="15">
        <v>1.0704959999999999</v>
      </c>
      <c r="R118" s="1">
        <v>-0.53296200000000005</v>
      </c>
      <c r="S118" s="1">
        <v>0.87736700000000001</v>
      </c>
      <c r="T118" s="1">
        <v>1</v>
      </c>
      <c r="U118" s="1">
        <v>22</v>
      </c>
      <c r="V118" s="12">
        <v>22</v>
      </c>
      <c r="W118" s="18" t="str">
        <f t="shared" si="5"/>
        <v>NIE</v>
      </c>
    </row>
    <row r="119" spans="1:23" ht="15" thickBot="1" x14ac:dyDescent="0.35">
      <c r="A119" s="54"/>
      <c r="B119" s="39">
        <v>16</v>
      </c>
      <c r="C119" s="15">
        <v>0.480821</v>
      </c>
      <c r="D119" s="47">
        <v>1.0814999999999999</v>
      </c>
      <c r="E119" s="9">
        <v>-4.0700000000000003E-4</v>
      </c>
      <c r="F119" s="1">
        <v>9.8200000000000002E-4</v>
      </c>
      <c r="G119" s="1">
        <v>9.9999999999999995E-7</v>
      </c>
      <c r="H119" s="1">
        <v>1</v>
      </c>
      <c r="I119" s="12">
        <v>13</v>
      </c>
      <c r="J119" s="18" t="str">
        <f t="shared" si="3"/>
        <v>TAK</v>
      </c>
      <c r="K119" s="9">
        <v>-1.5799999999999999E-4</v>
      </c>
      <c r="L119" s="9">
        <v>5.7799999999999995E-4</v>
      </c>
      <c r="M119" s="9">
        <v>0</v>
      </c>
      <c r="N119" s="1">
        <v>1</v>
      </c>
      <c r="O119" s="12">
        <v>23</v>
      </c>
      <c r="P119" s="18" t="str">
        <f t="shared" si="4"/>
        <v>TAK</v>
      </c>
      <c r="Q119" s="15">
        <v>3.6299999999999999E-4</v>
      </c>
      <c r="R119" s="1">
        <v>2.9629999999999999E-3</v>
      </c>
      <c r="S119" s="1">
        <v>1.0000000000000001E-5</v>
      </c>
      <c r="T119" s="1">
        <v>1</v>
      </c>
      <c r="U119" s="1">
        <v>21</v>
      </c>
      <c r="V119" s="12">
        <v>21</v>
      </c>
      <c r="W119" s="18" t="str">
        <f t="shared" si="5"/>
        <v>TAK</v>
      </c>
    </row>
    <row r="120" spans="1:23" ht="15" thickBot="1" x14ac:dyDescent="0.35">
      <c r="A120" s="54"/>
      <c r="B120" s="39">
        <v>17</v>
      </c>
      <c r="C120" s="15">
        <v>0.52427000000000001</v>
      </c>
      <c r="D120" s="47">
        <v>1.6571750000000001</v>
      </c>
      <c r="E120" s="9">
        <v>-4.1800000000000002E-4</v>
      </c>
      <c r="F120" s="1">
        <v>1.0089999999999999E-3</v>
      </c>
      <c r="G120" s="1">
        <v>9.9999999999999995E-7</v>
      </c>
      <c r="H120" s="1">
        <v>1</v>
      </c>
      <c r="I120" s="12">
        <v>14</v>
      </c>
      <c r="J120" s="18" t="str">
        <f t="shared" si="3"/>
        <v>TAK</v>
      </c>
      <c r="K120" s="9">
        <v>-6.8999999999999997E-5</v>
      </c>
      <c r="L120" s="9">
        <v>3.2899999999999997E-4</v>
      </c>
      <c r="M120" s="9">
        <v>0</v>
      </c>
      <c r="N120" s="1">
        <v>1</v>
      </c>
      <c r="O120" s="12">
        <v>25</v>
      </c>
      <c r="P120" s="18" t="str">
        <f t="shared" si="4"/>
        <v>TAK</v>
      </c>
      <c r="Q120" s="15">
        <v>-3.8400000000000001E-4</v>
      </c>
      <c r="R120" s="1">
        <v>2.7599999999999999E-3</v>
      </c>
      <c r="S120" s="1">
        <v>6.9999999999999999E-6</v>
      </c>
      <c r="T120" s="1">
        <v>1</v>
      </c>
      <c r="U120" s="1">
        <v>23</v>
      </c>
      <c r="V120" s="12">
        <v>23</v>
      </c>
      <c r="W120" s="18" t="str">
        <f t="shared" si="5"/>
        <v>TAK</v>
      </c>
    </row>
    <row r="121" spans="1:23" ht="15" thickBot="1" x14ac:dyDescent="0.35">
      <c r="A121" s="54"/>
      <c r="B121" s="39">
        <v>18</v>
      </c>
      <c r="C121" s="15">
        <v>0.55532800000000004</v>
      </c>
      <c r="D121" s="47">
        <v>1.09423</v>
      </c>
      <c r="E121" s="9">
        <v>-3.7599999999999998E-4</v>
      </c>
      <c r="F121" s="1">
        <v>9.0799999999999995E-4</v>
      </c>
      <c r="G121" s="1">
        <v>9.9999999999999995E-7</v>
      </c>
      <c r="H121" s="1">
        <v>1</v>
      </c>
      <c r="I121" s="12">
        <v>13</v>
      </c>
      <c r="J121" s="18" t="str">
        <f t="shared" si="3"/>
        <v>TAK</v>
      </c>
      <c r="K121" s="9">
        <v>-1.0900000000000001E-4</v>
      </c>
      <c r="L121" s="9">
        <v>4.55E-4</v>
      </c>
      <c r="M121" s="9">
        <v>0</v>
      </c>
      <c r="N121" s="1">
        <v>1</v>
      </c>
      <c r="O121" s="12">
        <v>22</v>
      </c>
      <c r="P121" s="18" t="str">
        <f t="shared" si="4"/>
        <v>TAK</v>
      </c>
      <c r="Q121" s="15">
        <v>-1.7501869999999999</v>
      </c>
      <c r="R121" s="1">
        <v>0.87523099999999998</v>
      </c>
      <c r="S121" s="1">
        <v>0.29867899999999997</v>
      </c>
      <c r="T121" s="1">
        <v>1</v>
      </c>
      <c r="U121" s="1">
        <v>32</v>
      </c>
      <c r="V121" s="12">
        <v>32</v>
      </c>
      <c r="W121" s="18" t="str">
        <f t="shared" si="5"/>
        <v>NIE</v>
      </c>
    </row>
    <row r="122" spans="1:23" ht="15" thickBot="1" x14ac:dyDescent="0.35">
      <c r="A122" s="54"/>
      <c r="B122" s="39">
        <v>19</v>
      </c>
      <c r="C122" s="15">
        <v>1.7812779999999999</v>
      </c>
      <c r="D122" s="47">
        <v>0.71207799999999999</v>
      </c>
      <c r="E122" s="9">
        <v>1.747441</v>
      </c>
      <c r="F122" s="1">
        <v>-0.87288399999999999</v>
      </c>
      <c r="G122" s="1">
        <v>0.29863899999999999</v>
      </c>
      <c r="H122" s="1">
        <v>1</v>
      </c>
      <c r="I122" s="12">
        <v>79123</v>
      </c>
      <c r="J122" s="18" t="str">
        <f t="shared" si="3"/>
        <v>NIE</v>
      </c>
      <c r="K122" s="9" t="s">
        <v>23</v>
      </c>
      <c r="L122" s="9" t="s">
        <v>23</v>
      </c>
      <c r="M122" s="9" t="s">
        <v>23</v>
      </c>
      <c r="N122" s="1">
        <v>1</v>
      </c>
      <c r="O122" s="12">
        <v>22</v>
      </c>
      <c r="P122" s="18" t="e">
        <f t="shared" si="4"/>
        <v>#VALUE!</v>
      </c>
      <c r="Q122" s="15">
        <v>1.74762</v>
      </c>
      <c r="R122" s="1">
        <v>-0.87095100000000003</v>
      </c>
      <c r="S122" s="1">
        <v>0.298647</v>
      </c>
      <c r="T122" s="1">
        <v>1</v>
      </c>
      <c r="U122" s="1">
        <v>22</v>
      </c>
      <c r="V122" s="12">
        <v>22</v>
      </c>
      <c r="W122" s="18" t="str">
        <f t="shared" si="5"/>
        <v>NIE</v>
      </c>
    </row>
    <row r="123" spans="1:23" ht="15" thickBot="1" x14ac:dyDescent="0.35">
      <c r="A123" s="54"/>
      <c r="B123" s="39">
        <v>20</v>
      </c>
      <c r="C123" s="15">
        <v>0.69081099999999995</v>
      </c>
      <c r="D123" s="47">
        <v>0.68304200000000004</v>
      </c>
      <c r="E123" s="9">
        <v>-4.1599999999999997E-4</v>
      </c>
      <c r="F123" s="1">
        <v>1.005E-3</v>
      </c>
      <c r="G123" s="1">
        <v>9.9999999999999995E-7</v>
      </c>
      <c r="H123" s="1">
        <v>1</v>
      </c>
      <c r="I123" s="12">
        <v>10</v>
      </c>
      <c r="J123" s="18" t="str">
        <f t="shared" si="3"/>
        <v>TAK</v>
      </c>
      <c r="K123" s="9">
        <v>-4.8999999999999998E-4</v>
      </c>
      <c r="L123" s="9">
        <v>-2.5000000000000001E-5</v>
      </c>
      <c r="M123" s="9">
        <v>0</v>
      </c>
      <c r="N123" s="1">
        <v>1</v>
      </c>
      <c r="O123" s="12">
        <v>19</v>
      </c>
      <c r="P123" s="18" t="str">
        <f t="shared" si="4"/>
        <v>TAK</v>
      </c>
      <c r="Q123" s="15">
        <v>1.070087</v>
      </c>
      <c r="R123" s="1">
        <v>-0.53259800000000002</v>
      </c>
      <c r="S123" s="1">
        <v>0.87736700000000001</v>
      </c>
      <c r="T123" s="1">
        <v>1</v>
      </c>
      <c r="U123" s="1">
        <v>21</v>
      </c>
      <c r="V123" s="12">
        <v>21</v>
      </c>
      <c r="W123" s="18" t="str">
        <f t="shared" si="5"/>
        <v>NIE</v>
      </c>
    </row>
    <row r="124" spans="1:23" ht="15" thickBot="1" x14ac:dyDescent="0.35">
      <c r="A124" s="54"/>
      <c r="B124" s="39">
        <v>21</v>
      </c>
      <c r="C124" s="15">
        <v>0.89930399999999999</v>
      </c>
      <c r="D124" s="47">
        <v>0.29020000000000001</v>
      </c>
      <c r="E124" s="9">
        <v>5.7499999999999999E-4</v>
      </c>
      <c r="F124" s="1">
        <v>-1.3879999999999999E-3</v>
      </c>
      <c r="G124" s="1">
        <v>1.9999999999999999E-6</v>
      </c>
      <c r="H124" s="1">
        <v>1</v>
      </c>
      <c r="I124" s="12">
        <v>12</v>
      </c>
      <c r="J124" s="18" t="str">
        <f t="shared" si="3"/>
        <v>TAK</v>
      </c>
      <c r="K124" s="9">
        <v>-2.3800000000000001E-4</v>
      </c>
      <c r="L124" s="9">
        <v>2.92E-4</v>
      </c>
      <c r="M124" s="9">
        <v>0</v>
      </c>
      <c r="N124" s="1">
        <v>1</v>
      </c>
      <c r="O124" s="12">
        <v>22</v>
      </c>
      <c r="P124" s="18" t="str">
        <f t="shared" si="4"/>
        <v>TAK</v>
      </c>
      <c r="Q124" s="15">
        <v>1.0700689999999999</v>
      </c>
      <c r="R124" s="1">
        <v>-0.53268800000000005</v>
      </c>
      <c r="S124" s="1">
        <v>0.87736700000000001</v>
      </c>
      <c r="T124" s="1">
        <v>1</v>
      </c>
      <c r="U124" s="1">
        <v>20</v>
      </c>
      <c r="V124" s="12">
        <v>20</v>
      </c>
      <c r="W124" s="18" t="str">
        <f t="shared" si="5"/>
        <v>NIE</v>
      </c>
    </row>
    <row r="125" spans="1:23" ht="15" thickBot="1" x14ac:dyDescent="0.35">
      <c r="A125" s="54"/>
      <c r="B125" s="39">
        <v>22</v>
      </c>
      <c r="C125" s="15">
        <v>0.226303</v>
      </c>
      <c r="D125" s="47">
        <v>0.785609</v>
      </c>
      <c r="E125" s="9">
        <v>-5.7300000000000005E-4</v>
      </c>
      <c r="F125" s="1">
        <v>1.3829999999999999E-3</v>
      </c>
      <c r="G125" s="1">
        <v>1.9999999999999999E-6</v>
      </c>
      <c r="H125" s="1">
        <v>1</v>
      </c>
      <c r="I125" s="12">
        <v>12</v>
      </c>
      <c r="J125" s="18" t="str">
        <f t="shared" si="3"/>
        <v>TAK</v>
      </c>
      <c r="K125" s="9">
        <v>-1.65E-4</v>
      </c>
      <c r="L125" s="9">
        <v>5.1400000000000003E-4</v>
      </c>
      <c r="M125" s="9">
        <v>0</v>
      </c>
      <c r="N125" s="1">
        <v>1</v>
      </c>
      <c r="O125" s="12">
        <v>22</v>
      </c>
      <c r="P125" s="18" t="str">
        <f t="shared" si="4"/>
        <v>TAK</v>
      </c>
      <c r="Q125" s="15">
        <v>6.4999999999999997E-4</v>
      </c>
      <c r="R125" s="1">
        <v>2.5249999999999999E-3</v>
      </c>
      <c r="S125" s="1">
        <v>9.0000000000000002E-6</v>
      </c>
      <c r="T125" s="1">
        <v>1</v>
      </c>
      <c r="U125" s="1">
        <v>20</v>
      </c>
      <c r="V125" s="12">
        <v>20</v>
      </c>
      <c r="W125" s="18" t="str">
        <f t="shared" si="5"/>
        <v>TAK</v>
      </c>
    </row>
    <row r="126" spans="1:23" ht="15" thickBot="1" x14ac:dyDescent="0.35">
      <c r="A126" s="54"/>
      <c r="B126" s="39">
        <v>23</v>
      </c>
      <c r="C126" s="15">
        <v>1.944034</v>
      </c>
      <c r="D126" s="47">
        <v>1.565677</v>
      </c>
      <c r="E126" s="9">
        <v>-3.77E-4</v>
      </c>
      <c r="F126" s="1">
        <v>9.1E-4</v>
      </c>
      <c r="G126" s="1">
        <v>9.9999999999999995E-7</v>
      </c>
      <c r="H126" s="1">
        <v>1</v>
      </c>
      <c r="I126" s="12">
        <v>10</v>
      </c>
      <c r="J126" s="18" t="str">
        <f t="shared" si="3"/>
        <v>TAK</v>
      </c>
      <c r="K126" s="9">
        <v>-5.2400000000000005E-4</v>
      </c>
      <c r="L126" s="9">
        <v>4.8000000000000001E-4</v>
      </c>
      <c r="M126" s="9">
        <v>9.9999999999999995E-7</v>
      </c>
      <c r="N126" s="1">
        <v>1</v>
      </c>
      <c r="O126" s="12">
        <v>19</v>
      </c>
      <c r="P126" s="18" t="str">
        <f t="shared" si="4"/>
        <v>TAK</v>
      </c>
      <c r="Q126" s="15">
        <v>1.7479180000000001</v>
      </c>
      <c r="R126" s="1">
        <v>-0.87141299999999999</v>
      </c>
      <c r="S126" s="1">
        <v>0.29864600000000002</v>
      </c>
      <c r="T126" s="1">
        <v>1</v>
      </c>
      <c r="U126" s="1">
        <v>24</v>
      </c>
      <c r="V126" s="12">
        <v>24</v>
      </c>
      <c r="W126" s="18" t="str">
        <f t="shared" si="5"/>
        <v>NIE</v>
      </c>
    </row>
    <row r="127" spans="1:23" ht="15" thickBot="1" x14ac:dyDescent="0.35">
      <c r="A127" s="54"/>
      <c r="B127" s="39">
        <v>24</v>
      </c>
      <c r="C127" s="15">
        <v>0.89241300000000001</v>
      </c>
      <c r="D127" s="47">
        <v>1.4655180000000001</v>
      </c>
      <c r="E127" s="9">
        <v>-5.5199999999999997E-4</v>
      </c>
      <c r="F127" s="1">
        <v>1.333E-3</v>
      </c>
      <c r="G127" s="1">
        <v>1.9999999999999999E-6</v>
      </c>
      <c r="H127" s="1">
        <v>1</v>
      </c>
      <c r="I127" s="12">
        <v>12</v>
      </c>
      <c r="J127" s="18" t="str">
        <f t="shared" si="3"/>
        <v>TAK</v>
      </c>
      <c r="K127" s="9">
        <v>-3.4E-5</v>
      </c>
      <c r="L127" s="9">
        <v>-2.2599999999999999E-4</v>
      </c>
      <c r="M127" s="9">
        <v>0</v>
      </c>
      <c r="N127" s="1">
        <v>1</v>
      </c>
      <c r="O127" s="12">
        <v>28</v>
      </c>
      <c r="P127" s="18" t="str">
        <f t="shared" si="4"/>
        <v>TAK</v>
      </c>
      <c r="Q127" s="15">
        <v>1.0703370000000001</v>
      </c>
      <c r="R127" s="1">
        <v>-0.53261099999999995</v>
      </c>
      <c r="S127" s="1">
        <v>0.87736800000000004</v>
      </c>
      <c r="T127" s="1">
        <v>1</v>
      </c>
      <c r="U127" s="1">
        <v>23</v>
      </c>
      <c r="V127" s="12">
        <v>23</v>
      </c>
      <c r="W127" s="18" t="str">
        <f t="shared" si="5"/>
        <v>NIE</v>
      </c>
    </row>
    <row r="128" spans="1:23" ht="15" thickBot="1" x14ac:dyDescent="0.35">
      <c r="A128" s="54"/>
      <c r="B128" s="39">
        <v>25</v>
      </c>
      <c r="C128" s="15">
        <v>0.532613</v>
      </c>
      <c r="D128" s="47">
        <v>1.3813390000000001</v>
      </c>
      <c r="E128" s="9">
        <v>-5.3700000000000004E-4</v>
      </c>
      <c r="F128" s="1">
        <v>1.297E-3</v>
      </c>
      <c r="G128" s="1">
        <v>1.9999999999999999E-6</v>
      </c>
      <c r="H128" s="1">
        <v>1</v>
      </c>
      <c r="I128" s="12">
        <v>13</v>
      </c>
      <c r="J128" s="18" t="str">
        <f t="shared" si="3"/>
        <v>TAK</v>
      </c>
      <c r="K128" s="9">
        <v>-5.8999999999999998E-5</v>
      </c>
      <c r="L128" s="9">
        <v>2.7099999999999997E-4</v>
      </c>
      <c r="M128" s="9">
        <v>0</v>
      </c>
      <c r="N128" s="1">
        <v>1</v>
      </c>
      <c r="O128" s="12">
        <v>25</v>
      </c>
      <c r="P128" s="18" t="str">
        <f t="shared" si="4"/>
        <v>TAK</v>
      </c>
      <c r="Q128" s="15">
        <v>-4.46E-4</v>
      </c>
      <c r="R128" s="1">
        <v>2.4269999999999999E-3</v>
      </c>
      <c r="S128" s="1">
        <v>5.0000000000000004E-6</v>
      </c>
      <c r="T128" s="1">
        <v>1</v>
      </c>
      <c r="U128" s="1">
        <v>23</v>
      </c>
      <c r="V128" s="12">
        <v>23</v>
      </c>
      <c r="W128" s="18" t="str">
        <f t="shared" si="5"/>
        <v>TAK</v>
      </c>
    </row>
    <row r="129" spans="1:23" ht="15" thickBot="1" x14ac:dyDescent="0.35">
      <c r="A129" s="54"/>
      <c r="B129" s="39">
        <v>26</v>
      </c>
      <c r="C129" s="15">
        <v>1.868206</v>
      </c>
      <c r="D129" s="47">
        <v>0.81772199999999995</v>
      </c>
      <c r="E129" s="9">
        <v>4.4999999999999999E-4</v>
      </c>
      <c r="F129" s="1">
        <v>-1.0859999999999999E-3</v>
      </c>
      <c r="G129" s="1">
        <v>9.9999999999999995E-7</v>
      </c>
      <c r="H129" s="1">
        <v>1</v>
      </c>
      <c r="I129" s="12">
        <v>15</v>
      </c>
      <c r="J129" s="18" t="str">
        <f t="shared" si="3"/>
        <v>TAK</v>
      </c>
      <c r="K129" s="9" t="s">
        <v>23</v>
      </c>
      <c r="L129" s="9" t="s">
        <v>23</v>
      </c>
      <c r="M129" s="9" t="s">
        <v>23</v>
      </c>
      <c r="N129" s="1">
        <v>1</v>
      </c>
      <c r="O129" s="12">
        <v>28</v>
      </c>
      <c r="P129" s="18" t="e">
        <f t="shared" si="4"/>
        <v>#VALUE!</v>
      </c>
      <c r="Q129" s="15">
        <v>1.7478720000000001</v>
      </c>
      <c r="R129" s="1">
        <v>-0.870811</v>
      </c>
      <c r="S129" s="1">
        <v>0.298649</v>
      </c>
      <c r="T129" s="1">
        <v>1</v>
      </c>
      <c r="U129" s="1">
        <v>22</v>
      </c>
      <c r="V129" s="12">
        <v>22</v>
      </c>
      <c r="W129" s="18" t="str">
        <f t="shared" si="5"/>
        <v>NIE</v>
      </c>
    </row>
    <row r="130" spans="1:23" ht="15" thickBot="1" x14ac:dyDescent="0.35">
      <c r="A130" s="54"/>
      <c r="B130" s="39">
        <v>27</v>
      </c>
      <c r="C130" s="15">
        <v>1.4843170000000001</v>
      </c>
      <c r="D130" s="47">
        <v>0.34482800000000002</v>
      </c>
      <c r="E130" s="9">
        <v>1.747539</v>
      </c>
      <c r="F130" s="1">
        <v>-0.87275000000000003</v>
      </c>
      <c r="G130" s="1">
        <v>0.29863899999999999</v>
      </c>
      <c r="H130" s="1">
        <v>1</v>
      </c>
      <c r="I130" s="12">
        <v>543803</v>
      </c>
      <c r="J130" s="18" t="str">
        <f t="shared" si="3"/>
        <v>NIE</v>
      </c>
      <c r="K130" s="9" t="s">
        <v>23</v>
      </c>
      <c r="L130" s="9" t="s">
        <v>23</v>
      </c>
      <c r="M130" s="9" t="s">
        <v>23</v>
      </c>
      <c r="N130" s="1">
        <v>1</v>
      </c>
      <c r="O130" s="12">
        <v>40</v>
      </c>
      <c r="P130" s="18" t="e">
        <f t="shared" si="4"/>
        <v>#VALUE!</v>
      </c>
      <c r="Q130" s="15">
        <v>1.7499739999999999</v>
      </c>
      <c r="R130" s="1">
        <v>-0.87498699999999996</v>
      </c>
      <c r="S130" s="1">
        <v>0.29867300000000002</v>
      </c>
      <c r="T130" s="1">
        <v>1</v>
      </c>
      <c r="U130" s="1">
        <v>82</v>
      </c>
      <c r="V130" s="12">
        <v>82</v>
      </c>
      <c r="W130" s="18" t="str">
        <f t="shared" si="5"/>
        <v>NIE</v>
      </c>
    </row>
    <row r="131" spans="1:23" ht="15" thickBot="1" x14ac:dyDescent="0.35">
      <c r="A131" s="54"/>
      <c r="B131" s="39">
        <v>28</v>
      </c>
      <c r="C131" s="15">
        <v>1.6807529999999999</v>
      </c>
      <c r="D131" s="47">
        <v>1.8389999999999999E-3</v>
      </c>
      <c r="E131" s="9">
        <v>1.7472810000000001</v>
      </c>
      <c r="F131" s="1">
        <v>-0.87320699999999996</v>
      </c>
      <c r="G131" s="1">
        <v>0.29863899999999999</v>
      </c>
      <c r="H131" s="1">
        <v>1</v>
      </c>
      <c r="I131" s="12">
        <v>118126</v>
      </c>
      <c r="J131" s="18" t="str">
        <f t="shared" si="3"/>
        <v>NIE</v>
      </c>
      <c r="K131" s="9" t="s">
        <v>23</v>
      </c>
      <c r="L131" s="9" t="s">
        <v>23</v>
      </c>
      <c r="M131" s="9" t="s">
        <v>23</v>
      </c>
      <c r="N131" s="1">
        <v>1</v>
      </c>
      <c r="O131" s="12">
        <v>49</v>
      </c>
      <c r="P131" s="18" t="e">
        <f t="shared" si="4"/>
        <v>#VALUE!</v>
      </c>
      <c r="Q131" s="15">
        <v>1.7473879999999999</v>
      </c>
      <c r="R131" s="1">
        <v>-0.87102299999999999</v>
      </c>
      <c r="S131" s="1">
        <v>0.29864600000000002</v>
      </c>
      <c r="T131" s="1">
        <v>1</v>
      </c>
      <c r="U131" s="1">
        <v>20</v>
      </c>
      <c r="V131" s="12">
        <v>20</v>
      </c>
      <c r="W131" s="18" t="str">
        <f t="shared" si="5"/>
        <v>NIE</v>
      </c>
    </row>
    <row r="132" spans="1:23" ht="15" thickBot="1" x14ac:dyDescent="0.35">
      <c r="A132" s="54"/>
      <c r="B132" s="39">
        <v>29</v>
      </c>
      <c r="C132" s="15">
        <v>1.093847</v>
      </c>
      <c r="D132" s="47">
        <v>0.753139</v>
      </c>
      <c r="E132" s="9">
        <v>5.1400000000000003E-4</v>
      </c>
      <c r="F132" s="1">
        <v>-1.2409999999999999E-3</v>
      </c>
      <c r="G132" s="1">
        <v>9.9999999999999995E-7</v>
      </c>
      <c r="H132" s="1">
        <v>1</v>
      </c>
      <c r="I132" s="12">
        <v>13</v>
      </c>
      <c r="J132" s="18" t="str">
        <f t="shared" ref="J132:J195" si="9">IF(ABS(G132) &lt; 0.01,"TAK","NIE")</f>
        <v>TAK</v>
      </c>
      <c r="K132" s="9">
        <v>1.3799999999999999E-4</v>
      </c>
      <c r="L132" s="9">
        <v>-2.6699999999999998E-4</v>
      </c>
      <c r="M132" s="9">
        <v>0</v>
      </c>
      <c r="N132" s="1">
        <v>1</v>
      </c>
      <c r="O132" s="12">
        <v>46</v>
      </c>
      <c r="P132" s="18" t="str">
        <f t="shared" ref="P132:P195" si="10">IF(ABS(M132) &lt; 0.01,"TAK","NIE")</f>
        <v>TAK</v>
      </c>
      <c r="Q132" s="15">
        <v>1.070584</v>
      </c>
      <c r="R132" s="1">
        <v>-0.53297300000000003</v>
      </c>
      <c r="S132" s="1">
        <v>0.87736700000000001</v>
      </c>
      <c r="T132" s="1">
        <v>1</v>
      </c>
      <c r="U132" s="1">
        <v>22</v>
      </c>
      <c r="V132" s="12">
        <v>22</v>
      </c>
      <c r="W132" s="18" t="str">
        <f t="shared" si="5"/>
        <v>NIE</v>
      </c>
    </row>
    <row r="133" spans="1:23" ht="15" thickBot="1" x14ac:dyDescent="0.35">
      <c r="A133" s="54"/>
      <c r="B133" s="39">
        <v>30</v>
      </c>
      <c r="C133" s="15">
        <v>1.416091</v>
      </c>
      <c r="D133" s="47">
        <v>1.7309289999999999</v>
      </c>
      <c r="E133" s="9">
        <v>3.68E-4</v>
      </c>
      <c r="F133" s="1">
        <v>-8.8800000000000001E-4</v>
      </c>
      <c r="G133" s="1">
        <v>9.9999999999999995E-7</v>
      </c>
      <c r="H133" s="1">
        <v>1</v>
      </c>
      <c r="I133" s="12">
        <v>16</v>
      </c>
      <c r="J133" s="18" t="str">
        <f t="shared" si="9"/>
        <v>TAK</v>
      </c>
      <c r="K133" s="9" t="s">
        <v>23</v>
      </c>
      <c r="L133" s="9" t="s">
        <v>23</v>
      </c>
      <c r="M133" s="9" t="s">
        <v>23</v>
      </c>
      <c r="N133" s="1">
        <v>1</v>
      </c>
      <c r="O133" s="12">
        <v>28</v>
      </c>
      <c r="P133" s="18" t="e">
        <f t="shared" si="10"/>
        <v>#VALUE!</v>
      </c>
      <c r="Q133" s="15">
        <v>1.0707450000000001</v>
      </c>
      <c r="R133" s="1">
        <v>-0.53292499999999998</v>
      </c>
      <c r="S133" s="1">
        <v>0.87736700000000001</v>
      </c>
      <c r="T133" s="1">
        <v>1</v>
      </c>
      <c r="U133" s="1">
        <v>24</v>
      </c>
      <c r="V133" s="12">
        <v>24</v>
      </c>
      <c r="W133" s="18" t="str">
        <f t="shared" ref="W133:W196" si="11">IF(ABS(S133) &lt; 0.01,"TAK","NIE")</f>
        <v>NIE</v>
      </c>
    </row>
    <row r="134" spans="1:23" ht="15" thickBot="1" x14ac:dyDescent="0.35">
      <c r="A134" s="54"/>
      <c r="B134" s="39">
        <v>31</v>
      </c>
      <c r="C134" s="15">
        <v>0.52262399999999998</v>
      </c>
      <c r="D134" s="47">
        <v>1.1390940000000001</v>
      </c>
      <c r="E134" s="9">
        <v>-4.1599999999999997E-4</v>
      </c>
      <c r="F134" s="1">
        <v>1.0039999999999999E-3</v>
      </c>
      <c r="G134" s="1">
        <v>9.9999999999999995E-7</v>
      </c>
      <c r="H134" s="1">
        <v>1</v>
      </c>
      <c r="I134" s="12">
        <v>13</v>
      </c>
      <c r="J134" s="18" t="str">
        <f t="shared" si="9"/>
        <v>TAK</v>
      </c>
      <c r="K134" s="9">
        <v>-1.4100000000000001E-4</v>
      </c>
      <c r="L134" s="9">
        <v>5.62E-4</v>
      </c>
      <c r="M134" s="9">
        <v>0</v>
      </c>
      <c r="N134" s="1">
        <v>1</v>
      </c>
      <c r="O134" s="12">
        <v>23</v>
      </c>
      <c r="P134" s="18" t="str">
        <f t="shared" si="10"/>
        <v>TAK</v>
      </c>
      <c r="Q134" s="15">
        <v>-4.6299999999999998E-4</v>
      </c>
      <c r="R134" s="1">
        <v>2.7299999999999998E-3</v>
      </c>
      <c r="S134" s="1">
        <v>6.9999999999999999E-6</v>
      </c>
      <c r="T134" s="1">
        <v>1</v>
      </c>
      <c r="U134" s="1">
        <v>22</v>
      </c>
      <c r="V134" s="12">
        <v>22</v>
      </c>
      <c r="W134" s="18" t="str">
        <f t="shared" si="11"/>
        <v>TAK</v>
      </c>
    </row>
    <row r="135" spans="1:23" ht="15" thickBot="1" x14ac:dyDescent="0.35">
      <c r="A135" s="54"/>
      <c r="B135" s="39">
        <v>32</v>
      </c>
      <c r="C135" s="15">
        <v>0.18804299999999999</v>
      </c>
      <c r="D135" s="47">
        <v>0.42498799999999998</v>
      </c>
      <c r="E135" s="9">
        <v>-4.7100000000000001E-4</v>
      </c>
      <c r="F135" s="1">
        <v>1.1360000000000001E-3</v>
      </c>
      <c r="G135" s="1">
        <v>9.9999999999999995E-7</v>
      </c>
      <c r="H135" s="1">
        <v>1</v>
      </c>
      <c r="I135" s="12">
        <v>11</v>
      </c>
      <c r="J135" s="18" t="str">
        <f t="shared" si="9"/>
        <v>TAK</v>
      </c>
      <c r="K135" s="9">
        <v>-7.1000000000000005E-5</v>
      </c>
      <c r="L135" s="9">
        <v>2.7599999999999999E-4</v>
      </c>
      <c r="M135" s="9">
        <v>0</v>
      </c>
      <c r="N135" s="1">
        <v>1</v>
      </c>
      <c r="O135" s="12">
        <v>22</v>
      </c>
      <c r="P135" s="18" t="str">
        <f t="shared" si="10"/>
        <v>TAK</v>
      </c>
      <c r="Q135" s="15">
        <v>9.9099999999999991E-4</v>
      </c>
      <c r="R135" s="1">
        <v>2.4299999999999999E-3</v>
      </c>
      <c r="S135" s="1">
        <v>1.0000000000000001E-5</v>
      </c>
      <c r="T135" s="1">
        <v>1</v>
      </c>
      <c r="U135" s="1">
        <v>18</v>
      </c>
      <c r="V135" s="12">
        <v>18</v>
      </c>
      <c r="W135" s="18" t="str">
        <f t="shared" si="11"/>
        <v>TAK</v>
      </c>
    </row>
    <row r="136" spans="1:23" ht="15" thickBot="1" x14ac:dyDescent="0.35">
      <c r="A136" s="54"/>
      <c r="B136" s="39">
        <v>33</v>
      </c>
      <c r="C136" s="15">
        <v>0.36824699999999999</v>
      </c>
      <c r="D136" s="47">
        <v>0.70370100000000002</v>
      </c>
      <c r="E136" s="9">
        <v>-4.2900000000000002E-4</v>
      </c>
      <c r="F136" s="1">
        <v>1.036E-3</v>
      </c>
      <c r="G136" s="1">
        <v>9.9999999999999995E-7</v>
      </c>
      <c r="H136" s="1">
        <v>1</v>
      </c>
      <c r="I136" s="12">
        <v>12</v>
      </c>
      <c r="J136" s="18" t="str">
        <f t="shared" si="9"/>
        <v>TAK</v>
      </c>
      <c r="K136" s="9">
        <v>-1.36E-4</v>
      </c>
      <c r="L136" s="9">
        <v>4.0099999999999999E-4</v>
      </c>
      <c r="M136" s="9">
        <v>0</v>
      </c>
      <c r="N136" s="1">
        <v>1</v>
      </c>
      <c r="O136" s="12">
        <v>22</v>
      </c>
      <c r="P136" s="18" t="str">
        <f t="shared" si="10"/>
        <v>TAK</v>
      </c>
      <c r="Q136" s="15">
        <v>8.5999999999999998E-4</v>
      </c>
      <c r="R136" s="1">
        <v>2.385E-3</v>
      </c>
      <c r="S136" s="1">
        <v>9.0000000000000002E-6</v>
      </c>
      <c r="T136" s="1">
        <v>1</v>
      </c>
      <c r="U136" s="1">
        <v>20</v>
      </c>
      <c r="V136" s="12">
        <v>20</v>
      </c>
      <c r="W136" s="18" t="str">
        <f t="shared" si="11"/>
        <v>TAK</v>
      </c>
    </row>
    <row r="137" spans="1:23" ht="15" thickBot="1" x14ac:dyDescent="0.35">
      <c r="A137" s="54"/>
      <c r="B137" s="39">
        <v>34</v>
      </c>
      <c r="C137" s="15">
        <v>1.3897969999999999</v>
      </c>
      <c r="D137" s="47">
        <v>0.46016000000000001</v>
      </c>
      <c r="E137" s="9">
        <v>1.7475069999999999</v>
      </c>
      <c r="F137" s="1">
        <v>-0.87273599999999996</v>
      </c>
      <c r="G137" s="1">
        <v>0.29863899999999999</v>
      </c>
      <c r="H137" s="1">
        <v>1</v>
      </c>
      <c r="I137" s="12">
        <v>79941</v>
      </c>
      <c r="J137" s="18" t="str">
        <f t="shared" si="9"/>
        <v>NIE</v>
      </c>
      <c r="K137" s="9" t="s">
        <v>23</v>
      </c>
      <c r="L137" s="9" t="e">
        <v>#NAME?</v>
      </c>
      <c r="M137" s="9" t="s">
        <v>23</v>
      </c>
      <c r="N137" s="1">
        <v>1</v>
      </c>
      <c r="O137" s="12">
        <v>19</v>
      </c>
      <c r="P137" s="18" t="e">
        <f t="shared" si="10"/>
        <v>#VALUE!</v>
      </c>
      <c r="Q137" s="15">
        <v>1.071094</v>
      </c>
      <c r="R137" s="1">
        <v>-0.53280000000000005</v>
      </c>
      <c r="S137" s="1">
        <v>0.87736800000000004</v>
      </c>
      <c r="T137" s="1">
        <v>1</v>
      </c>
      <c r="U137" s="1">
        <v>21</v>
      </c>
      <c r="V137" s="12">
        <v>21</v>
      </c>
      <c r="W137" s="18" t="str">
        <f t="shared" si="11"/>
        <v>NIE</v>
      </c>
    </row>
    <row r="138" spans="1:23" ht="15" thickBot="1" x14ac:dyDescent="0.35">
      <c r="A138" s="54"/>
      <c r="B138" s="39">
        <v>35</v>
      </c>
      <c r="C138" s="15">
        <v>0.91364400000000001</v>
      </c>
      <c r="D138" s="47">
        <v>0.93749000000000005</v>
      </c>
      <c r="E138" s="9">
        <v>-4.2499999999999998E-4</v>
      </c>
      <c r="F138" s="1">
        <v>1.0269999999999999E-3</v>
      </c>
      <c r="G138" s="1">
        <v>9.9999999999999995E-7</v>
      </c>
      <c r="H138" s="1">
        <v>1</v>
      </c>
      <c r="I138" s="12">
        <v>7</v>
      </c>
      <c r="J138" s="18" t="str">
        <f t="shared" si="9"/>
        <v>TAK</v>
      </c>
      <c r="K138" s="9">
        <v>-7.9999999999999996E-6</v>
      </c>
      <c r="L138" s="9">
        <v>-2.7399999999999999E-4</v>
      </c>
      <c r="M138" s="9">
        <v>0</v>
      </c>
      <c r="N138" s="1">
        <v>1</v>
      </c>
      <c r="O138" s="12">
        <v>28</v>
      </c>
      <c r="P138" s="18" t="str">
        <f t="shared" si="10"/>
        <v>TAK</v>
      </c>
      <c r="Q138" s="15">
        <v>1.0702940000000001</v>
      </c>
      <c r="R138" s="1">
        <v>-0.53266000000000002</v>
      </c>
      <c r="S138" s="1">
        <v>0.87736800000000004</v>
      </c>
      <c r="T138" s="1">
        <v>1</v>
      </c>
      <c r="U138" s="1">
        <v>22</v>
      </c>
      <c r="V138" s="12">
        <v>22</v>
      </c>
      <c r="W138" s="18" t="str">
        <f t="shared" si="11"/>
        <v>NIE</v>
      </c>
    </row>
    <row r="139" spans="1:23" ht="15" thickBot="1" x14ac:dyDescent="0.35">
      <c r="A139" s="54"/>
      <c r="B139" s="39">
        <v>36</v>
      </c>
      <c r="C139" s="15">
        <v>1.9027050000000001</v>
      </c>
      <c r="D139" s="47">
        <v>0.78689299999999995</v>
      </c>
      <c r="E139" s="9">
        <v>4.3100000000000001E-4</v>
      </c>
      <c r="F139" s="1">
        <v>-1.039E-3</v>
      </c>
      <c r="G139" s="1">
        <v>9.9999999999999995E-7</v>
      </c>
      <c r="H139" s="1">
        <v>1</v>
      </c>
      <c r="I139" s="12">
        <v>14</v>
      </c>
      <c r="J139" s="18" t="str">
        <f t="shared" si="9"/>
        <v>TAK</v>
      </c>
      <c r="K139" s="9" t="s">
        <v>23</v>
      </c>
      <c r="L139" s="9" t="e">
        <v>#NAME?</v>
      </c>
      <c r="M139" s="9" t="s">
        <v>23</v>
      </c>
      <c r="N139" s="1">
        <v>1</v>
      </c>
      <c r="O139" s="12">
        <v>37</v>
      </c>
      <c r="P139" s="18" t="e">
        <f t="shared" si="10"/>
        <v>#VALUE!</v>
      </c>
      <c r="Q139" s="15">
        <v>1.748008</v>
      </c>
      <c r="R139" s="1">
        <v>-0.87090299999999998</v>
      </c>
      <c r="S139" s="1">
        <v>0.298649</v>
      </c>
      <c r="T139" s="1">
        <v>1</v>
      </c>
      <c r="U139" s="1">
        <v>22</v>
      </c>
      <c r="V139" s="12">
        <v>22</v>
      </c>
      <c r="W139" s="18" t="str">
        <f t="shared" si="11"/>
        <v>NIE</v>
      </c>
    </row>
    <row r="140" spans="1:23" ht="15" thickBot="1" x14ac:dyDescent="0.35">
      <c r="A140" s="54"/>
      <c r="B140" s="39">
        <v>37</v>
      </c>
      <c r="C140" s="15">
        <v>0.32890999999999998</v>
      </c>
      <c r="D140" s="47">
        <v>1.408245</v>
      </c>
      <c r="E140" s="9">
        <v>-3.9199999999999999E-4</v>
      </c>
      <c r="F140" s="1">
        <v>9.4600000000000001E-4</v>
      </c>
      <c r="G140" s="1">
        <v>9.9999999999999995E-7</v>
      </c>
      <c r="H140" s="1">
        <v>1</v>
      </c>
      <c r="I140" s="12">
        <v>14</v>
      </c>
      <c r="J140" s="18" t="str">
        <f t="shared" si="9"/>
        <v>TAK</v>
      </c>
      <c r="K140" s="9">
        <v>-8.0000000000000007E-5</v>
      </c>
      <c r="L140" s="9">
        <v>3.2200000000000002E-4</v>
      </c>
      <c r="M140" s="9">
        <v>0</v>
      </c>
      <c r="N140" s="1">
        <v>1</v>
      </c>
      <c r="O140" s="12">
        <v>25</v>
      </c>
      <c r="P140" s="18" t="str">
        <f t="shared" si="10"/>
        <v>TAK</v>
      </c>
      <c r="Q140" s="15">
        <v>4.6700000000000002E-4</v>
      </c>
      <c r="R140" s="1">
        <v>2.5720000000000001E-3</v>
      </c>
      <c r="S140" s="1">
        <v>7.9999999999999996E-6</v>
      </c>
      <c r="T140" s="1">
        <v>1</v>
      </c>
      <c r="U140" s="1">
        <v>22</v>
      </c>
      <c r="V140" s="12">
        <v>22</v>
      </c>
      <c r="W140" s="18" t="str">
        <f t="shared" si="11"/>
        <v>TAK</v>
      </c>
    </row>
    <row r="141" spans="1:23" ht="15" thickBot="1" x14ac:dyDescent="0.35">
      <c r="A141" s="54"/>
      <c r="B141" s="39">
        <v>38</v>
      </c>
      <c r="C141" s="15">
        <v>1.579062</v>
      </c>
      <c r="D141" s="47">
        <v>1.6718310000000001</v>
      </c>
      <c r="E141" s="9">
        <v>1.7474890000000001</v>
      </c>
      <c r="F141" s="1">
        <v>-0.87282700000000002</v>
      </c>
      <c r="G141" s="1">
        <v>0.29863899999999999</v>
      </c>
      <c r="H141" s="1">
        <v>1</v>
      </c>
      <c r="I141" s="12">
        <v>21342</v>
      </c>
      <c r="J141" s="18" t="str">
        <f t="shared" si="9"/>
        <v>NIE</v>
      </c>
      <c r="K141" s="9" t="s">
        <v>23</v>
      </c>
      <c r="L141" s="9" t="s">
        <v>23</v>
      </c>
      <c r="M141" s="9" t="s">
        <v>23</v>
      </c>
      <c r="N141" s="1">
        <v>1</v>
      </c>
      <c r="O141" s="12">
        <v>28</v>
      </c>
      <c r="P141" s="18" t="e">
        <f t="shared" si="10"/>
        <v>#VALUE!</v>
      </c>
      <c r="Q141" s="15">
        <v>1.7474780000000001</v>
      </c>
      <c r="R141" s="1">
        <v>-0.87126899999999996</v>
      </c>
      <c r="S141" s="1">
        <v>0.29864499999999999</v>
      </c>
      <c r="T141" s="1">
        <v>1</v>
      </c>
      <c r="U141" s="1">
        <v>24</v>
      </c>
      <c r="V141" s="12">
        <v>24</v>
      </c>
      <c r="W141" s="18" t="str">
        <f t="shared" si="11"/>
        <v>NIE</v>
      </c>
    </row>
    <row r="142" spans="1:23" ht="15" thickBot="1" x14ac:dyDescent="0.35">
      <c r="A142" s="54"/>
      <c r="B142" s="39">
        <v>39</v>
      </c>
      <c r="C142" s="15">
        <v>0.55557500000000004</v>
      </c>
      <c r="D142" s="47">
        <v>1.8806700000000001</v>
      </c>
      <c r="E142" s="9">
        <v>-4.8200000000000001E-4</v>
      </c>
      <c r="F142" s="1">
        <v>1.165E-3</v>
      </c>
      <c r="G142" s="1">
        <v>9.9999999999999995E-7</v>
      </c>
      <c r="H142" s="1">
        <v>1</v>
      </c>
      <c r="I142" s="12">
        <v>14</v>
      </c>
      <c r="J142" s="18" t="str">
        <f t="shared" si="9"/>
        <v>TAK</v>
      </c>
      <c r="K142" s="9">
        <v>-7.1000000000000005E-5</v>
      </c>
      <c r="L142" s="9">
        <v>3.1799999999999998E-4</v>
      </c>
      <c r="M142" s="9">
        <v>0</v>
      </c>
      <c r="N142" s="1">
        <v>1</v>
      </c>
      <c r="O142" s="12">
        <v>25</v>
      </c>
      <c r="P142" s="18" t="str">
        <f t="shared" si="10"/>
        <v>TAK</v>
      </c>
      <c r="Q142" s="15">
        <v>-1.7500720000000001</v>
      </c>
      <c r="R142" s="1">
        <v>0.87519800000000003</v>
      </c>
      <c r="S142" s="1">
        <v>0.298676</v>
      </c>
      <c r="T142" s="1">
        <v>1</v>
      </c>
      <c r="U142" s="1">
        <v>33</v>
      </c>
      <c r="V142" s="12">
        <v>33</v>
      </c>
      <c r="W142" s="18" t="str">
        <f t="shared" si="11"/>
        <v>NIE</v>
      </c>
    </row>
    <row r="143" spans="1:23" ht="15" thickBot="1" x14ac:dyDescent="0.35">
      <c r="A143" s="54"/>
      <c r="B143" s="39">
        <v>40</v>
      </c>
      <c r="C143" s="15">
        <v>1.571807</v>
      </c>
      <c r="D143" s="47">
        <v>0.10291</v>
      </c>
      <c r="E143" s="9">
        <v>1.747503</v>
      </c>
      <c r="F143" s="1">
        <v>-0.872753</v>
      </c>
      <c r="G143" s="1">
        <v>0.29863899999999999</v>
      </c>
      <c r="H143" s="1">
        <v>1</v>
      </c>
      <c r="I143" s="12">
        <v>111418</v>
      </c>
      <c r="J143" s="18" t="str">
        <f t="shared" si="9"/>
        <v>NIE</v>
      </c>
      <c r="K143" s="9" t="s">
        <v>23</v>
      </c>
      <c r="L143" s="9" t="s">
        <v>23</v>
      </c>
      <c r="M143" s="9" t="s">
        <v>23</v>
      </c>
      <c r="N143" s="1">
        <v>1</v>
      </c>
      <c r="O143" s="12">
        <v>28</v>
      </c>
      <c r="P143" s="18" t="e">
        <f t="shared" si="10"/>
        <v>#VALUE!</v>
      </c>
      <c r="Q143" s="15">
        <v>1.7473240000000001</v>
      </c>
      <c r="R143" s="1">
        <v>-0.87084399999999995</v>
      </c>
      <c r="S143" s="1">
        <v>0.298647</v>
      </c>
      <c r="T143" s="1">
        <v>1</v>
      </c>
      <c r="U143" s="1">
        <v>20</v>
      </c>
      <c r="V143" s="12">
        <v>20</v>
      </c>
      <c r="W143" s="18" t="str">
        <f t="shared" si="11"/>
        <v>NIE</v>
      </c>
    </row>
    <row r="144" spans="1:23" ht="15" thickBot="1" x14ac:dyDescent="0.35">
      <c r="A144" s="54"/>
      <c r="B144" s="39">
        <v>41</v>
      </c>
      <c r="C144" s="15">
        <v>1.8919589999999999</v>
      </c>
      <c r="D144" s="47">
        <v>0.30090099999999997</v>
      </c>
      <c r="E144" s="9">
        <v>4.2700000000000002E-4</v>
      </c>
      <c r="F144" s="1">
        <v>-1.0300000000000001E-3</v>
      </c>
      <c r="G144" s="1">
        <v>9.9999999999999995E-7</v>
      </c>
      <c r="H144" s="1">
        <v>1</v>
      </c>
      <c r="I144" s="12">
        <v>16</v>
      </c>
      <c r="J144" s="18" t="str">
        <f t="shared" si="9"/>
        <v>TAK</v>
      </c>
      <c r="K144" s="9" t="s">
        <v>23</v>
      </c>
      <c r="L144" s="9" t="s">
        <v>24</v>
      </c>
      <c r="M144" s="9" t="s">
        <v>23</v>
      </c>
      <c r="N144" s="1">
        <v>1</v>
      </c>
      <c r="O144" s="12">
        <v>22</v>
      </c>
      <c r="P144" s="18" t="e">
        <f t="shared" si="10"/>
        <v>#VALUE!</v>
      </c>
      <c r="Q144" s="15">
        <v>1.7481</v>
      </c>
      <c r="R144" s="1">
        <v>-0.871085</v>
      </c>
      <c r="S144" s="1">
        <v>0.298649</v>
      </c>
      <c r="T144" s="1">
        <v>1</v>
      </c>
      <c r="U144" s="1">
        <v>21</v>
      </c>
      <c r="V144" s="12">
        <v>21</v>
      </c>
      <c r="W144" s="18" t="str">
        <f t="shared" si="11"/>
        <v>NIE</v>
      </c>
    </row>
    <row r="145" spans="1:23" ht="15" thickBot="1" x14ac:dyDescent="0.35">
      <c r="A145" s="54"/>
      <c r="B145" s="39">
        <v>42</v>
      </c>
      <c r="C145" s="15">
        <v>0.91147999999999996</v>
      </c>
      <c r="D145" s="47">
        <v>0.99158900000000005</v>
      </c>
      <c r="E145" s="9">
        <v>-4.06E-4</v>
      </c>
      <c r="F145" s="1">
        <v>9.7999999999999997E-4</v>
      </c>
      <c r="G145" s="1">
        <v>9.9999999999999995E-7</v>
      </c>
      <c r="H145" s="1">
        <v>1</v>
      </c>
      <c r="I145" s="12">
        <v>9</v>
      </c>
      <c r="J145" s="18" t="str">
        <f t="shared" si="9"/>
        <v>TAK</v>
      </c>
      <c r="K145" s="9">
        <v>-1.4E-5</v>
      </c>
      <c r="L145" s="9">
        <v>-2.7E-4</v>
      </c>
      <c r="M145" s="9">
        <v>0</v>
      </c>
      <c r="N145" s="1">
        <v>1</v>
      </c>
      <c r="O145" s="12">
        <v>28</v>
      </c>
      <c r="P145" s="18" t="str">
        <f t="shared" si="10"/>
        <v>TAK</v>
      </c>
      <c r="Q145" s="15">
        <v>1.0702910000000001</v>
      </c>
      <c r="R145" s="1">
        <v>-0.53256400000000004</v>
      </c>
      <c r="S145" s="1">
        <v>0.87736800000000004</v>
      </c>
      <c r="T145" s="1">
        <v>1</v>
      </c>
      <c r="U145" s="1">
        <v>22</v>
      </c>
      <c r="V145" s="12">
        <v>22</v>
      </c>
      <c r="W145" s="18" t="str">
        <f t="shared" si="11"/>
        <v>NIE</v>
      </c>
    </row>
    <row r="146" spans="1:23" ht="15" thickBot="1" x14ac:dyDescent="0.35">
      <c r="A146" s="54"/>
      <c r="B146" s="39">
        <v>43</v>
      </c>
      <c r="C146" s="15">
        <v>0.975549</v>
      </c>
      <c r="D146" s="47">
        <v>1.451438</v>
      </c>
      <c r="E146" s="9">
        <v>-3.8099999999999999E-4</v>
      </c>
      <c r="F146" s="1">
        <v>9.2100000000000005E-4</v>
      </c>
      <c r="G146" s="1">
        <v>9.9999999999999995E-7</v>
      </c>
      <c r="H146" s="1">
        <v>1</v>
      </c>
      <c r="I146" s="12">
        <v>12</v>
      </c>
      <c r="J146" s="18" t="str">
        <f t="shared" si="9"/>
        <v>TAK</v>
      </c>
      <c r="K146" s="9">
        <v>-3.1999999999999999E-5</v>
      </c>
      <c r="L146" s="9">
        <v>-2.9399999999999999E-4</v>
      </c>
      <c r="M146" s="9">
        <v>0</v>
      </c>
      <c r="N146" s="1">
        <v>1</v>
      </c>
      <c r="O146" s="12">
        <v>28</v>
      </c>
      <c r="P146" s="18" t="str">
        <f t="shared" si="10"/>
        <v>TAK</v>
      </c>
      <c r="Q146" s="15">
        <v>1.070422</v>
      </c>
      <c r="R146" s="1">
        <v>-0.53261700000000001</v>
      </c>
      <c r="S146" s="1">
        <v>0.87736800000000004</v>
      </c>
      <c r="T146" s="1">
        <v>1</v>
      </c>
      <c r="U146" s="1">
        <v>23</v>
      </c>
      <c r="V146" s="12">
        <v>23</v>
      </c>
      <c r="W146" s="18" t="str">
        <f t="shared" si="11"/>
        <v>NIE</v>
      </c>
    </row>
    <row r="147" spans="1:23" ht="15" thickBot="1" x14ac:dyDescent="0.35">
      <c r="A147" s="54"/>
      <c r="B147" s="39">
        <v>44</v>
      </c>
      <c r="C147" s="15">
        <v>0.55637000000000003</v>
      </c>
      <c r="D147" s="47">
        <v>1.759512</v>
      </c>
      <c r="E147" s="9">
        <v>-4.4000000000000002E-4</v>
      </c>
      <c r="F147" s="1">
        <v>1.0629999999999999E-3</v>
      </c>
      <c r="G147" s="1">
        <v>9.9999999999999995E-7</v>
      </c>
      <c r="H147" s="1">
        <v>1</v>
      </c>
      <c r="I147" s="12">
        <v>14</v>
      </c>
      <c r="J147" s="18" t="str">
        <f t="shared" si="9"/>
        <v>TAK</v>
      </c>
      <c r="K147" s="9">
        <v>-6.7000000000000002E-5</v>
      </c>
      <c r="L147" s="9">
        <v>3.1599999999999998E-4</v>
      </c>
      <c r="M147" s="9">
        <v>0</v>
      </c>
      <c r="N147" s="1">
        <v>1</v>
      </c>
      <c r="O147" s="12">
        <v>25</v>
      </c>
      <c r="P147" s="18" t="str">
        <f t="shared" si="10"/>
        <v>TAK</v>
      </c>
      <c r="Q147" s="15">
        <v>-1.7499089999999999</v>
      </c>
      <c r="R147" s="1">
        <v>0.87501899999999999</v>
      </c>
      <c r="S147" s="1">
        <v>0.29867100000000002</v>
      </c>
      <c r="T147" s="1">
        <v>1</v>
      </c>
      <c r="U147" s="1">
        <v>36</v>
      </c>
      <c r="V147" s="12">
        <v>36</v>
      </c>
      <c r="W147" s="18" t="str">
        <f t="shared" si="11"/>
        <v>NIE</v>
      </c>
    </row>
    <row r="148" spans="1:23" ht="15" thickBot="1" x14ac:dyDescent="0.35">
      <c r="A148" s="54"/>
      <c r="B148" s="39">
        <v>45</v>
      </c>
      <c r="C148" s="15">
        <v>0.83105499999999999</v>
      </c>
      <c r="D148" s="47">
        <v>1.3852</v>
      </c>
      <c r="E148" s="9">
        <v>-5.7399999999999997E-4</v>
      </c>
      <c r="F148" s="1">
        <v>1.3860000000000001E-3</v>
      </c>
      <c r="G148" s="1">
        <v>1.9999999999999999E-6</v>
      </c>
      <c r="H148" s="1">
        <v>1</v>
      </c>
      <c r="I148" s="12">
        <v>12</v>
      </c>
      <c r="J148" s="18" t="str">
        <f t="shared" si="9"/>
        <v>TAK</v>
      </c>
      <c r="K148" s="9">
        <v>2.7900000000000001E-4</v>
      </c>
      <c r="L148" s="9">
        <v>-2.12E-4</v>
      </c>
      <c r="M148" s="9">
        <v>0</v>
      </c>
      <c r="N148" s="1">
        <v>1</v>
      </c>
      <c r="O148" s="12">
        <v>25</v>
      </c>
      <c r="P148" s="18" t="str">
        <f t="shared" si="10"/>
        <v>TAK</v>
      </c>
      <c r="Q148" s="15">
        <v>1.07029</v>
      </c>
      <c r="R148" s="1">
        <v>-0.53273599999999999</v>
      </c>
      <c r="S148" s="1">
        <v>0.87736700000000001</v>
      </c>
      <c r="T148" s="1">
        <v>1</v>
      </c>
      <c r="U148" s="1">
        <v>23</v>
      </c>
      <c r="V148" s="12">
        <v>23</v>
      </c>
      <c r="W148" s="18" t="str">
        <f t="shared" si="11"/>
        <v>NIE</v>
      </c>
    </row>
    <row r="149" spans="1:23" ht="15" thickBot="1" x14ac:dyDescent="0.35">
      <c r="A149" s="54"/>
      <c r="B149" s="39">
        <v>46</v>
      </c>
      <c r="C149" s="15">
        <v>0.61712599999999995</v>
      </c>
      <c r="D149" s="47">
        <v>1.8950979999999999</v>
      </c>
      <c r="E149" s="9">
        <v>-4.6099999999999998E-4</v>
      </c>
      <c r="F149" s="1">
        <v>1.1130000000000001E-3</v>
      </c>
      <c r="G149" s="1">
        <v>9.9999999999999995E-7</v>
      </c>
      <c r="H149" s="1">
        <v>1</v>
      </c>
      <c r="I149" s="12">
        <v>14</v>
      </c>
      <c r="J149" s="18" t="str">
        <f t="shared" si="9"/>
        <v>TAK</v>
      </c>
      <c r="K149" s="9">
        <v>-6.3E-5</v>
      </c>
      <c r="L149" s="9">
        <v>2.7999999999999998E-4</v>
      </c>
      <c r="M149" s="9">
        <v>0</v>
      </c>
      <c r="N149" s="1">
        <v>1</v>
      </c>
      <c r="O149" s="12">
        <v>25</v>
      </c>
      <c r="P149" s="18" t="str">
        <f t="shared" si="10"/>
        <v>TAK</v>
      </c>
      <c r="Q149" s="15">
        <v>1.0707169999999999</v>
      </c>
      <c r="R149" s="1">
        <v>-0.53241000000000005</v>
      </c>
      <c r="S149" s="1">
        <v>0.87736999999999998</v>
      </c>
      <c r="T149" s="1">
        <v>1</v>
      </c>
      <c r="U149" s="1">
        <v>23</v>
      </c>
      <c r="V149" s="12">
        <v>23</v>
      </c>
      <c r="W149" s="18" t="str">
        <f t="shared" si="11"/>
        <v>NIE</v>
      </c>
    </row>
    <row r="150" spans="1:23" ht="15" thickBot="1" x14ac:dyDescent="0.35">
      <c r="A150" s="54"/>
      <c r="B150" s="39">
        <v>47</v>
      </c>
      <c r="C150" s="15">
        <v>0.72645599999999999</v>
      </c>
      <c r="D150" s="47">
        <v>1.760229</v>
      </c>
      <c r="E150" s="9">
        <v>-3.7100000000000002E-4</v>
      </c>
      <c r="F150" s="1">
        <v>8.9700000000000001E-4</v>
      </c>
      <c r="G150" s="1">
        <v>9.9999999999999995E-7</v>
      </c>
      <c r="H150" s="1">
        <v>1</v>
      </c>
      <c r="I150" s="12">
        <v>14</v>
      </c>
      <c r="J150" s="18" t="str">
        <f t="shared" si="9"/>
        <v>TAK</v>
      </c>
      <c r="K150" s="9">
        <v>-8.8999999999999995E-5</v>
      </c>
      <c r="L150" s="9">
        <v>4.2200000000000001E-4</v>
      </c>
      <c r="M150" s="9">
        <v>0</v>
      </c>
      <c r="N150" s="1">
        <v>1</v>
      </c>
      <c r="O150" s="12">
        <v>23</v>
      </c>
      <c r="P150" s="18" t="str">
        <f t="shared" si="10"/>
        <v>TAK</v>
      </c>
      <c r="Q150" s="15">
        <v>1.070263</v>
      </c>
      <c r="R150" s="1">
        <v>-0.53229099999999996</v>
      </c>
      <c r="S150" s="1">
        <v>0.87736899999999995</v>
      </c>
      <c r="T150" s="1">
        <v>1</v>
      </c>
      <c r="U150" s="1">
        <v>23</v>
      </c>
      <c r="V150" s="12">
        <v>23</v>
      </c>
      <c r="W150" s="18" t="str">
        <f t="shared" si="11"/>
        <v>NIE</v>
      </c>
    </row>
    <row r="151" spans="1:23" ht="15" thickBot="1" x14ac:dyDescent="0.35">
      <c r="A151" s="54"/>
      <c r="B151" s="39">
        <v>48</v>
      </c>
      <c r="C151" s="15">
        <v>1.3113269999999999</v>
      </c>
      <c r="D151" s="47">
        <v>1.127437</v>
      </c>
      <c r="E151" s="9">
        <v>5.5400000000000002E-4</v>
      </c>
      <c r="F151" s="1">
        <v>-1.338E-3</v>
      </c>
      <c r="G151" s="1">
        <v>1.9999999999999999E-6</v>
      </c>
      <c r="H151" s="1">
        <v>1</v>
      </c>
      <c r="I151" s="12">
        <v>16</v>
      </c>
      <c r="J151" s="18" t="str">
        <f t="shared" si="9"/>
        <v>TAK</v>
      </c>
      <c r="K151" s="9" t="s">
        <v>23</v>
      </c>
      <c r="L151" s="9" t="e">
        <v>#NAME?</v>
      </c>
      <c r="M151" s="9" t="s">
        <v>23</v>
      </c>
      <c r="N151" s="1">
        <v>1</v>
      </c>
      <c r="O151" s="12">
        <v>25</v>
      </c>
      <c r="P151" s="18" t="e">
        <f t="shared" si="10"/>
        <v>#VALUE!</v>
      </c>
      <c r="Q151" s="15">
        <v>1.0708340000000001</v>
      </c>
      <c r="R151" s="1">
        <v>-0.53303100000000003</v>
      </c>
      <c r="S151" s="1">
        <v>0.87736700000000001</v>
      </c>
      <c r="T151" s="1">
        <v>1</v>
      </c>
      <c r="U151" s="1">
        <v>23</v>
      </c>
      <c r="V151" s="12">
        <v>23</v>
      </c>
      <c r="W151" s="18" t="str">
        <f t="shared" si="11"/>
        <v>NIE</v>
      </c>
    </row>
    <row r="152" spans="1:23" ht="15" thickBot="1" x14ac:dyDescent="0.35">
      <c r="A152" s="54"/>
      <c r="B152" s="39">
        <v>49</v>
      </c>
      <c r="C152" s="15">
        <v>1.1362319999999999</v>
      </c>
      <c r="D152" s="47">
        <v>0.73112699999999997</v>
      </c>
      <c r="E152" s="9">
        <v>4.5800000000000002E-4</v>
      </c>
      <c r="F152" s="1">
        <v>-1.1050000000000001E-3</v>
      </c>
      <c r="G152" s="1">
        <v>9.9999999999999995E-7</v>
      </c>
      <c r="H152" s="1">
        <v>1</v>
      </c>
      <c r="I152" s="12">
        <v>14</v>
      </c>
      <c r="J152" s="18" t="str">
        <f t="shared" si="9"/>
        <v>TAK</v>
      </c>
      <c r="K152" s="9" t="s">
        <v>23</v>
      </c>
      <c r="L152" s="9" t="s">
        <v>24</v>
      </c>
      <c r="M152" s="9" t="s">
        <v>23</v>
      </c>
      <c r="N152" s="1">
        <v>1</v>
      </c>
      <c r="O152" s="12">
        <v>31</v>
      </c>
      <c r="P152" s="18" t="e">
        <f t="shared" si="10"/>
        <v>#VALUE!</v>
      </c>
      <c r="Q152" s="15">
        <v>1.0706610000000001</v>
      </c>
      <c r="R152" s="1">
        <v>-0.53301299999999996</v>
      </c>
      <c r="S152" s="1">
        <v>0.87736700000000001</v>
      </c>
      <c r="T152" s="1">
        <v>1</v>
      </c>
      <c r="U152" s="1">
        <v>22</v>
      </c>
      <c r="V152" s="12">
        <v>22</v>
      </c>
      <c r="W152" s="18" t="str">
        <f t="shared" si="11"/>
        <v>NIE</v>
      </c>
    </row>
    <row r="153" spans="1:23" ht="15" thickBot="1" x14ac:dyDescent="0.35">
      <c r="A153" s="54"/>
      <c r="B153" s="39">
        <v>50</v>
      </c>
      <c r="C153" s="15">
        <v>1.937152</v>
      </c>
      <c r="D153" s="47">
        <v>1.296494</v>
      </c>
      <c r="E153" s="9">
        <v>4.46E-4</v>
      </c>
      <c r="F153" s="1">
        <v>-1.0759999999999999E-3</v>
      </c>
      <c r="G153" s="1">
        <v>9.9999999999999995E-7</v>
      </c>
      <c r="H153" s="1">
        <v>1</v>
      </c>
      <c r="I153" s="12">
        <v>10</v>
      </c>
      <c r="J153" s="18" t="str">
        <f t="shared" si="9"/>
        <v>TAK</v>
      </c>
      <c r="K153" s="9">
        <v>2.5000000000000001E-4</v>
      </c>
      <c r="L153" s="9">
        <v>-3.8299999999999999E-4</v>
      </c>
      <c r="M153" s="9">
        <v>0</v>
      </c>
      <c r="N153" s="1">
        <v>1</v>
      </c>
      <c r="O153" s="12">
        <v>22</v>
      </c>
      <c r="P153" s="18" t="str">
        <f t="shared" si="10"/>
        <v>TAK</v>
      </c>
      <c r="Q153" s="15">
        <v>1.748014</v>
      </c>
      <c r="R153" s="1">
        <v>-0.870977</v>
      </c>
      <c r="S153" s="1">
        <v>0.298649</v>
      </c>
      <c r="T153" s="1">
        <v>1</v>
      </c>
      <c r="U153" s="1">
        <v>23</v>
      </c>
      <c r="V153" s="12">
        <v>23</v>
      </c>
      <c r="W153" s="18" t="str">
        <f t="shared" si="11"/>
        <v>NIE</v>
      </c>
    </row>
    <row r="154" spans="1:23" ht="15" thickBot="1" x14ac:dyDescent="0.35">
      <c r="A154" s="54"/>
      <c r="B154" s="39">
        <v>51</v>
      </c>
      <c r="C154" s="15">
        <v>0.84711599999999998</v>
      </c>
      <c r="D154" s="47">
        <v>1.9997689999999999</v>
      </c>
      <c r="E154" s="9">
        <v>-3.9300000000000001E-4</v>
      </c>
      <c r="F154" s="1">
        <v>9.4899999999999997E-4</v>
      </c>
      <c r="G154" s="1">
        <v>9.9999999999999995E-7</v>
      </c>
      <c r="H154" s="1">
        <v>1</v>
      </c>
      <c r="I154" s="12">
        <v>14</v>
      </c>
      <c r="J154" s="18" t="str">
        <f t="shared" si="9"/>
        <v>TAK</v>
      </c>
      <c r="K154" s="9">
        <v>-2.4000000000000001E-5</v>
      </c>
      <c r="L154" s="9">
        <v>5.0000000000000001E-4</v>
      </c>
      <c r="M154" s="9">
        <v>0</v>
      </c>
      <c r="N154" s="1">
        <v>1</v>
      </c>
      <c r="O154" s="12">
        <v>22</v>
      </c>
      <c r="P154" s="18" t="str">
        <f t="shared" si="10"/>
        <v>TAK</v>
      </c>
      <c r="Q154" s="15">
        <v>1.0703609999999999</v>
      </c>
      <c r="R154" s="1">
        <v>-0.53274900000000003</v>
      </c>
      <c r="S154" s="1">
        <v>0.87736700000000001</v>
      </c>
      <c r="T154" s="1">
        <v>1</v>
      </c>
      <c r="U154" s="1">
        <v>24</v>
      </c>
      <c r="V154" s="12">
        <v>24</v>
      </c>
      <c r="W154" s="18" t="str">
        <f t="shared" si="11"/>
        <v>NIE</v>
      </c>
    </row>
    <row r="155" spans="1:23" ht="15" thickBot="1" x14ac:dyDescent="0.35">
      <c r="A155" s="54"/>
      <c r="B155" s="39">
        <v>52</v>
      </c>
      <c r="C155" s="15">
        <v>1.6359980000000001</v>
      </c>
      <c r="D155" s="47">
        <v>0.216276</v>
      </c>
      <c r="E155" s="9">
        <v>1.747655</v>
      </c>
      <c r="F155" s="1">
        <v>-0.87273199999999995</v>
      </c>
      <c r="G155" s="1">
        <v>0.29864000000000002</v>
      </c>
      <c r="H155" s="1">
        <v>1</v>
      </c>
      <c r="I155" s="12">
        <v>171210</v>
      </c>
      <c r="J155" s="18" t="str">
        <f t="shared" si="9"/>
        <v>NIE</v>
      </c>
      <c r="K155" s="9" t="s">
        <v>23</v>
      </c>
      <c r="L155" s="9" t="s">
        <v>24</v>
      </c>
      <c r="M155" s="9" t="s">
        <v>23</v>
      </c>
      <c r="N155" s="1">
        <v>1</v>
      </c>
      <c r="O155" s="12">
        <v>124</v>
      </c>
      <c r="P155" s="18" t="e">
        <f t="shared" si="10"/>
        <v>#VALUE!</v>
      </c>
      <c r="Q155" s="15">
        <v>1.747384</v>
      </c>
      <c r="R155" s="1">
        <v>-0.87123200000000001</v>
      </c>
      <c r="S155" s="1">
        <v>0.29864499999999999</v>
      </c>
      <c r="T155" s="1">
        <v>1</v>
      </c>
      <c r="U155" s="1">
        <v>21</v>
      </c>
      <c r="V155" s="12">
        <v>21</v>
      </c>
      <c r="W155" s="18" t="str">
        <f t="shared" si="11"/>
        <v>NIE</v>
      </c>
    </row>
    <row r="156" spans="1:23" ht="15" thickBot="1" x14ac:dyDescent="0.35">
      <c r="A156" s="54"/>
      <c r="B156" s="39">
        <v>53</v>
      </c>
      <c r="C156" s="15">
        <v>1.171681</v>
      </c>
      <c r="D156" s="47">
        <v>0.85329699999999997</v>
      </c>
      <c r="E156" s="9">
        <v>5.0299999999999997E-4</v>
      </c>
      <c r="F156" s="1">
        <v>-1.2149999999999999E-3</v>
      </c>
      <c r="G156" s="1">
        <v>9.9999999999999995E-7</v>
      </c>
      <c r="H156" s="1">
        <v>1</v>
      </c>
      <c r="I156" s="12">
        <v>14</v>
      </c>
      <c r="J156" s="18" t="str">
        <f t="shared" si="9"/>
        <v>TAK</v>
      </c>
      <c r="K156" s="9" t="s">
        <v>23</v>
      </c>
      <c r="L156" s="9" t="s">
        <v>23</v>
      </c>
      <c r="M156" s="9" t="s">
        <v>23</v>
      </c>
      <c r="N156" s="1">
        <v>1</v>
      </c>
      <c r="O156" s="12">
        <v>37</v>
      </c>
      <c r="P156" s="18" t="e">
        <f t="shared" si="10"/>
        <v>#VALUE!</v>
      </c>
      <c r="Q156" s="15">
        <v>1.070724</v>
      </c>
      <c r="R156" s="1">
        <v>-0.53279500000000002</v>
      </c>
      <c r="S156" s="1">
        <v>0.87736800000000004</v>
      </c>
      <c r="T156" s="1">
        <v>1</v>
      </c>
      <c r="U156" s="1">
        <v>22</v>
      </c>
      <c r="V156" s="12">
        <v>22</v>
      </c>
      <c r="W156" s="18" t="str">
        <f t="shared" si="11"/>
        <v>NIE</v>
      </c>
    </row>
    <row r="157" spans="1:23" ht="15" thickBot="1" x14ac:dyDescent="0.35">
      <c r="A157" s="54"/>
      <c r="B157" s="39">
        <v>54</v>
      </c>
      <c r="C157" s="15">
        <v>0.299209</v>
      </c>
      <c r="D157" s="47">
        <v>0.71526999999999996</v>
      </c>
      <c r="E157" s="9">
        <v>-4.7699999999999999E-4</v>
      </c>
      <c r="F157" s="1">
        <v>1.152E-3</v>
      </c>
      <c r="G157" s="1">
        <v>9.9999999999999995E-7</v>
      </c>
      <c r="H157" s="1">
        <v>1</v>
      </c>
      <c r="I157" s="12">
        <v>12</v>
      </c>
      <c r="J157" s="18" t="str">
        <f t="shared" si="9"/>
        <v>TAK</v>
      </c>
      <c r="K157" s="9">
        <v>-1.4200000000000001E-4</v>
      </c>
      <c r="L157" s="9">
        <v>4.4700000000000002E-4</v>
      </c>
      <c r="M157" s="9">
        <v>0</v>
      </c>
      <c r="N157" s="1">
        <v>1</v>
      </c>
      <c r="O157" s="12">
        <v>22</v>
      </c>
      <c r="P157" s="18" t="str">
        <f t="shared" si="10"/>
        <v>TAK</v>
      </c>
      <c r="Q157" s="15">
        <v>7.9000000000000001E-4</v>
      </c>
      <c r="R157" s="1">
        <v>2.3470000000000001E-3</v>
      </c>
      <c r="S157" s="1">
        <v>9.0000000000000002E-6</v>
      </c>
      <c r="T157" s="1">
        <v>1</v>
      </c>
      <c r="U157" s="1">
        <v>20</v>
      </c>
      <c r="V157" s="12">
        <v>20</v>
      </c>
      <c r="W157" s="18" t="str">
        <f t="shared" si="11"/>
        <v>TAK</v>
      </c>
    </row>
    <row r="158" spans="1:23" ht="15" thickBot="1" x14ac:dyDescent="0.35">
      <c r="A158" s="54"/>
      <c r="B158" s="39">
        <v>55</v>
      </c>
      <c r="C158" s="15">
        <v>0.30355300000000002</v>
      </c>
      <c r="D158" s="47">
        <v>1.9543729999999999</v>
      </c>
      <c r="E158" s="9">
        <v>-3.6499999999999998E-4</v>
      </c>
      <c r="F158" s="1">
        <v>8.8099999999999995E-4</v>
      </c>
      <c r="G158" s="1">
        <v>9.9999999999999995E-7</v>
      </c>
      <c r="H158" s="1">
        <v>1</v>
      </c>
      <c r="I158" s="12">
        <v>15</v>
      </c>
      <c r="J158" s="18" t="str">
        <f t="shared" si="9"/>
        <v>TAK</v>
      </c>
      <c r="K158" s="9">
        <v>-4.8000000000000001E-5</v>
      </c>
      <c r="L158" s="9">
        <v>2.7E-4</v>
      </c>
      <c r="M158" s="9">
        <v>0</v>
      </c>
      <c r="N158" s="1">
        <v>1</v>
      </c>
      <c r="O158" s="12">
        <v>25</v>
      </c>
      <c r="P158" s="18" t="str">
        <f t="shared" si="10"/>
        <v>TAK</v>
      </c>
      <c r="Q158" s="15">
        <v>3.3599999999999998E-4</v>
      </c>
      <c r="R158" s="1">
        <v>2.65E-3</v>
      </c>
      <c r="S158" s="1">
        <v>7.9999999999999996E-6</v>
      </c>
      <c r="T158" s="1">
        <v>1</v>
      </c>
      <c r="U158" s="1">
        <v>23</v>
      </c>
      <c r="V158" s="12">
        <v>23</v>
      </c>
      <c r="W158" s="18" t="str">
        <f t="shared" si="11"/>
        <v>TAK</v>
      </c>
    </row>
    <row r="159" spans="1:23" ht="15" thickBot="1" x14ac:dyDescent="0.35">
      <c r="A159" s="54"/>
      <c r="B159" s="39">
        <v>56</v>
      </c>
      <c r="C159" s="15">
        <v>1.6487210000000001</v>
      </c>
      <c r="D159" s="47">
        <v>1.7576000000000001</v>
      </c>
      <c r="E159" s="9">
        <v>4.5100000000000001E-4</v>
      </c>
      <c r="F159" s="1">
        <v>-1.0889999999999999E-3</v>
      </c>
      <c r="G159" s="1">
        <v>9.9999999999999995E-7</v>
      </c>
      <c r="H159" s="1">
        <v>1</v>
      </c>
      <c r="I159" s="12">
        <v>19</v>
      </c>
      <c r="J159" s="18" t="str">
        <f t="shared" si="9"/>
        <v>TAK</v>
      </c>
      <c r="K159" s="9" t="s">
        <v>23</v>
      </c>
      <c r="L159" s="9" t="e">
        <v>#NAME?</v>
      </c>
      <c r="M159" s="9" t="s">
        <v>23</v>
      </c>
      <c r="N159" s="1">
        <v>1</v>
      </c>
      <c r="O159" s="12">
        <v>25</v>
      </c>
      <c r="P159" s="18" t="e">
        <f t="shared" si="10"/>
        <v>#VALUE!</v>
      </c>
      <c r="Q159" s="15">
        <v>1.747485</v>
      </c>
      <c r="R159" s="1">
        <v>-0.87115200000000004</v>
      </c>
      <c r="S159" s="1">
        <v>0.29864499999999999</v>
      </c>
      <c r="T159" s="1">
        <v>1</v>
      </c>
      <c r="U159" s="1">
        <v>24</v>
      </c>
      <c r="V159" s="12">
        <v>24</v>
      </c>
      <c r="W159" s="18" t="str">
        <f t="shared" si="11"/>
        <v>NIE</v>
      </c>
    </row>
    <row r="160" spans="1:23" ht="15" thickBot="1" x14ac:dyDescent="0.35">
      <c r="A160" s="54"/>
      <c r="B160" s="39">
        <v>57</v>
      </c>
      <c r="C160" s="15">
        <v>1.9611970000000001</v>
      </c>
      <c r="D160" s="47">
        <v>1.8782639999999999</v>
      </c>
      <c r="E160" s="9">
        <v>-4.9700000000000005E-4</v>
      </c>
      <c r="F160" s="1">
        <v>1.1999999999999999E-3</v>
      </c>
      <c r="G160" s="1">
        <v>9.9999999999999995E-7</v>
      </c>
      <c r="H160" s="1">
        <v>1</v>
      </c>
      <c r="I160" s="12">
        <v>12</v>
      </c>
      <c r="J160" s="18" t="str">
        <f t="shared" si="9"/>
        <v>TAK</v>
      </c>
      <c r="K160" s="9">
        <v>-6.9999999999999999E-6</v>
      </c>
      <c r="L160" s="9">
        <v>2.9700000000000001E-4</v>
      </c>
      <c r="M160" s="9">
        <v>0</v>
      </c>
      <c r="N160" s="1">
        <v>1</v>
      </c>
      <c r="O160" s="12">
        <v>25</v>
      </c>
      <c r="P160" s="18" t="str">
        <f t="shared" si="10"/>
        <v>TAK</v>
      </c>
      <c r="Q160" s="15">
        <v>1.74797</v>
      </c>
      <c r="R160" s="1">
        <v>-0.871116</v>
      </c>
      <c r="S160" s="1">
        <v>0.29864800000000002</v>
      </c>
      <c r="T160" s="1">
        <v>1</v>
      </c>
      <c r="U160" s="1">
        <v>24</v>
      </c>
      <c r="V160" s="12">
        <v>24</v>
      </c>
      <c r="W160" s="18" t="str">
        <f t="shared" si="11"/>
        <v>NIE</v>
      </c>
    </row>
    <row r="161" spans="1:23" ht="15" thickBot="1" x14ac:dyDescent="0.35">
      <c r="A161" s="54"/>
      <c r="B161" s="39">
        <v>58</v>
      </c>
      <c r="C161" s="15">
        <v>1.7830379999999999</v>
      </c>
      <c r="D161" s="47">
        <v>1.1559600000000001</v>
      </c>
      <c r="E161" s="9">
        <v>5.6499999999999996E-4</v>
      </c>
      <c r="F161" s="1">
        <v>-1.3630000000000001E-3</v>
      </c>
      <c r="G161" s="1">
        <v>1.9999999999999999E-6</v>
      </c>
      <c r="H161" s="1">
        <v>1</v>
      </c>
      <c r="I161" s="12">
        <v>18</v>
      </c>
      <c r="J161" s="18" t="str">
        <f t="shared" si="9"/>
        <v>TAK</v>
      </c>
      <c r="K161" s="9" t="s">
        <v>23</v>
      </c>
      <c r="L161" s="9" t="s">
        <v>23</v>
      </c>
      <c r="M161" s="9" t="s">
        <v>23</v>
      </c>
      <c r="N161" s="1">
        <v>1</v>
      </c>
      <c r="O161" s="12">
        <v>25</v>
      </c>
      <c r="P161" s="18" t="e">
        <f t="shared" si="10"/>
        <v>#VALUE!</v>
      </c>
      <c r="Q161" s="15">
        <v>1.747606</v>
      </c>
      <c r="R161" s="1">
        <v>-0.87106399999999995</v>
      </c>
      <c r="S161" s="1">
        <v>0.29864600000000002</v>
      </c>
      <c r="T161" s="1">
        <v>1</v>
      </c>
      <c r="U161" s="1">
        <v>23</v>
      </c>
      <c r="V161" s="12">
        <v>23</v>
      </c>
      <c r="W161" s="18" t="str">
        <f t="shared" si="11"/>
        <v>NIE</v>
      </c>
    </row>
    <row r="162" spans="1:23" ht="15" thickBot="1" x14ac:dyDescent="0.35">
      <c r="A162" s="54"/>
      <c r="B162" s="39">
        <v>59</v>
      </c>
      <c r="C162" s="15">
        <v>8.6385000000000003E-2</v>
      </c>
      <c r="D162" s="47">
        <v>1.6255500000000001</v>
      </c>
      <c r="E162" s="9">
        <v>-5.1699999999999999E-4</v>
      </c>
      <c r="F162" s="1">
        <v>1.2470000000000001E-3</v>
      </c>
      <c r="G162" s="1">
        <v>9.9999999999999995E-7</v>
      </c>
      <c r="H162" s="1">
        <v>1</v>
      </c>
      <c r="I162" s="12">
        <v>14</v>
      </c>
      <c r="J162" s="18" t="str">
        <f t="shared" si="9"/>
        <v>TAK</v>
      </c>
      <c r="K162" s="9">
        <v>-5.1E-5</v>
      </c>
      <c r="L162" s="9">
        <v>2.9700000000000001E-4</v>
      </c>
      <c r="M162" s="9">
        <v>0</v>
      </c>
      <c r="N162" s="1">
        <v>1</v>
      </c>
      <c r="O162" s="12">
        <v>25</v>
      </c>
      <c r="P162" s="18" t="str">
        <f t="shared" si="10"/>
        <v>TAK</v>
      </c>
      <c r="Q162" s="15">
        <v>1.5200000000000001E-4</v>
      </c>
      <c r="R162" s="1">
        <v>2.9009999999999999E-3</v>
      </c>
      <c r="S162" s="1">
        <v>9.0000000000000002E-6</v>
      </c>
      <c r="T162" s="1">
        <v>1</v>
      </c>
      <c r="U162" s="1">
        <v>22</v>
      </c>
      <c r="V162" s="12">
        <v>22</v>
      </c>
      <c r="W162" s="18" t="str">
        <f t="shared" si="11"/>
        <v>TAK</v>
      </c>
    </row>
    <row r="163" spans="1:23" ht="15" thickBot="1" x14ac:dyDescent="0.35">
      <c r="A163" s="54"/>
      <c r="B163" s="39">
        <v>60</v>
      </c>
      <c r="C163" s="15">
        <v>0.40009299999999998</v>
      </c>
      <c r="D163" s="47">
        <v>1.8572869999999999</v>
      </c>
      <c r="E163" s="9">
        <v>-5.3399999999999997E-4</v>
      </c>
      <c r="F163" s="1">
        <v>1.2899999999999999E-3</v>
      </c>
      <c r="G163" s="1">
        <v>1.9999999999999999E-6</v>
      </c>
      <c r="H163" s="1">
        <v>1</v>
      </c>
      <c r="I163" s="12">
        <v>14</v>
      </c>
      <c r="J163" s="18" t="str">
        <f t="shared" si="9"/>
        <v>TAK</v>
      </c>
      <c r="K163" s="9">
        <v>-7.1000000000000005E-5</v>
      </c>
      <c r="L163" s="9">
        <v>3.48E-4</v>
      </c>
      <c r="M163" s="9">
        <v>0</v>
      </c>
      <c r="N163" s="1">
        <v>1</v>
      </c>
      <c r="O163" s="12">
        <v>25</v>
      </c>
      <c r="P163" s="18" t="str">
        <f t="shared" si="10"/>
        <v>TAK</v>
      </c>
      <c r="Q163" s="15">
        <v>3.6099999999999999E-4</v>
      </c>
      <c r="R163" s="1">
        <v>2.5720000000000001E-3</v>
      </c>
      <c r="S163" s="1">
        <v>7.9999999999999996E-6</v>
      </c>
      <c r="T163" s="1">
        <v>1</v>
      </c>
      <c r="U163" s="1">
        <v>23</v>
      </c>
      <c r="V163" s="12">
        <v>23</v>
      </c>
      <c r="W163" s="18" t="str">
        <f t="shared" si="11"/>
        <v>TAK</v>
      </c>
    </row>
    <row r="164" spans="1:23" ht="15" thickBot="1" x14ac:dyDescent="0.35">
      <c r="A164" s="54"/>
      <c r="B164" s="39">
        <v>61</v>
      </c>
      <c r="C164" s="15">
        <v>1.886666</v>
      </c>
      <c r="D164" s="47">
        <v>1.5655349999999999</v>
      </c>
      <c r="E164" s="9">
        <v>4.2999999999999999E-4</v>
      </c>
      <c r="F164" s="1">
        <v>-1.039E-3</v>
      </c>
      <c r="G164" s="1">
        <v>9.9999999999999995E-7</v>
      </c>
      <c r="H164" s="1">
        <v>1</v>
      </c>
      <c r="I164" s="12">
        <v>11</v>
      </c>
      <c r="J164" s="18" t="str">
        <f t="shared" si="9"/>
        <v>TAK</v>
      </c>
      <c r="K164" s="9">
        <v>1.22E-4</v>
      </c>
      <c r="L164" s="9">
        <v>-4.86E-4</v>
      </c>
      <c r="M164" s="9">
        <v>0</v>
      </c>
      <c r="N164" s="1">
        <v>1</v>
      </c>
      <c r="O164" s="12">
        <v>23</v>
      </c>
      <c r="P164" s="18" t="str">
        <f t="shared" si="10"/>
        <v>TAK</v>
      </c>
      <c r="Q164" s="15">
        <v>1.7477720000000001</v>
      </c>
      <c r="R164" s="1">
        <v>-0.87136899999999995</v>
      </c>
      <c r="S164" s="1">
        <v>0.29864499999999999</v>
      </c>
      <c r="T164" s="1">
        <v>1</v>
      </c>
      <c r="U164" s="1">
        <v>24</v>
      </c>
      <c r="V164" s="12">
        <v>24</v>
      </c>
      <c r="W164" s="18" t="str">
        <f t="shared" si="11"/>
        <v>NIE</v>
      </c>
    </row>
    <row r="165" spans="1:23" ht="15" thickBot="1" x14ac:dyDescent="0.35">
      <c r="A165" s="54"/>
      <c r="B165" s="39">
        <v>62</v>
      </c>
      <c r="C165" s="15">
        <v>1.3429469999999999</v>
      </c>
      <c r="D165" s="47">
        <v>1.8942559999999999</v>
      </c>
      <c r="E165" s="9">
        <v>4.7100000000000001E-4</v>
      </c>
      <c r="F165" s="1">
        <v>-1.137E-3</v>
      </c>
      <c r="G165" s="1">
        <v>9.9999999999999995E-7</v>
      </c>
      <c r="H165" s="1">
        <v>1</v>
      </c>
      <c r="I165" s="12">
        <v>13</v>
      </c>
      <c r="J165" s="18" t="str">
        <f t="shared" si="9"/>
        <v>TAK</v>
      </c>
      <c r="K165" s="9">
        <v>-1.3100000000000001E-4</v>
      </c>
      <c r="L165" s="9">
        <v>2.3000000000000001E-4</v>
      </c>
      <c r="M165" s="9">
        <v>0</v>
      </c>
      <c r="N165" s="1">
        <v>1</v>
      </c>
      <c r="O165" s="12">
        <v>37</v>
      </c>
      <c r="P165" s="18" t="str">
        <f t="shared" si="10"/>
        <v>TAK</v>
      </c>
      <c r="Q165" s="15">
        <v>1.070775</v>
      </c>
      <c r="R165" s="1">
        <v>-0.53281299999999998</v>
      </c>
      <c r="S165" s="1">
        <v>0.87736800000000004</v>
      </c>
      <c r="T165" s="1">
        <v>1</v>
      </c>
      <c r="U165" s="1">
        <v>24</v>
      </c>
      <c r="V165" s="12">
        <v>24</v>
      </c>
      <c r="W165" s="18" t="str">
        <f t="shared" si="11"/>
        <v>NIE</v>
      </c>
    </row>
    <row r="166" spans="1:23" ht="15" thickBot="1" x14ac:dyDescent="0.35">
      <c r="A166" s="54"/>
      <c r="B166" s="39">
        <v>63</v>
      </c>
      <c r="C166" s="15">
        <v>0.116636</v>
      </c>
      <c r="D166" s="47">
        <v>1.669718</v>
      </c>
      <c r="E166" s="9">
        <v>-5.2899999999999996E-4</v>
      </c>
      <c r="F166" s="1">
        <v>1.2769999999999999E-3</v>
      </c>
      <c r="G166" s="1">
        <v>1.9999999999999999E-6</v>
      </c>
      <c r="H166" s="1">
        <v>1</v>
      </c>
      <c r="I166" s="12">
        <v>14</v>
      </c>
      <c r="J166" s="18" t="str">
        <f t="shared" si="9"/>
        <v>TAK</v>
      </c>
      <c r="K166" s="9">
        <v>-5.1999999999999997E-5</v>
      </c>
      <c r="L166" s="9">
        <v>2.99E-4</v>
      </c>
      <c r="M166" s="9">
        <v>0</v>
      </c>
      <c r="N166" s="1">
        <v>1</v>
      </c>
      <c r="O166" s="12">
        <v>25</v>
      </c>
      <c r="P166" s="18" t="str">
        <f t="shared" si="10"/>
        <v>TAK</v>
      </c>
      <c r="Q166" s="15">
        <v>2.03E-4</v>
      </c>
      <c r="R166" s="1">
        <v>2.9810000000000001E-3</v>
      </c>
      <c r="S166" s="1">
        <v>1.0000000000000001E-5</v>
      </c>
      <c r="T166" s="1">
        <v>1</v>
      </c>
      <c r="U166" s="1">
        <v>22</v>
      </c>
      <c r="V166" s="12">
        <v>22</v>
      </c>
      <c r="W166" s="18" t="str">
        <f t="shared" si="11"/>
        <v>TAK</v>
      </c>
    </row>
    <row r="167" spans="1:23" ht="15" thickBot="1" x14ac:dyDescent="0.35">
      <c r="A167" s="54"/>
      <c r="B167" s="39">
        <v>64</v>
      </c>
      <c r="C167" s="15">
        <v>1.073348</v>
      </c>
      <c r="D167" s="47">
        <v>1.437084</v>
      </c>
      <c r="E167" s="9">
        <v>-4.7899999999999999E-4</v>
      </c>
      <c r="F167" s="1">
        <v>1.1559999999999999E-3</v>
      </c>
      <c r="G167" s="1">
        <v>9.9999999999999995E-7</v>
      </c>
      <c r="H167" s="1">
        <v>1</v>
      </c>
      <c r="I167" s="12">
        <v>9</v>
      </c>
      <c r="J167" s="18" t="str">
        <f t="shared" si="9"/>
        <v>TAK</v>
      </c>
      <c r="K167" s="9">
        <v>2.8699999999999998E-4</v>
      </c>
      <c r="L167" s="9">
        <v>-3.3500000000000001E-4</v>
      </c>
      <c r="M167" s="9">
        <v>0</v>
      </c>
      <c r="N167" s="1">
        <v>1</v>
      </c>
      <c r="O167" s="12">
        <v>25</v>
      </c>
      <c r="P167" s="18" t="str">
        <f t="shared" si="10"/>
        <v>TAK</v>
      </c>
      <c r="Q167" s="15">
        <v>1.070546</v>
      </c>
      <c r="R167" s="1">
        <v>-0.53263199999999999</v>
      </c>
      <c r="S167" s="1">
        <v>0.87736899999999995</v>
      </c>
      <c r="T167" s="1">
        <v>1</v>
      </c>
      <c r="U167" s="1">
        <v>23</v>
      </c>
      <c r="V167" s="12">
        <v>23</v>
      </c>
      <c r="W167" s="18" t="str">
        <f t="shared" si="11"/>
        <v>NIE</v>
      </c>
    </row>
    <row r="168" spans="1:23" ht="15" thickBot="1" x14ac:dyDescent="0.35">
      <c r="A168" s="54"/>
      <c r="B168" s="39">
        <v>65</v>
      </c>
      <c r="C168" s="15">
        <v>1.3624909999999999</v>
      </c>
      <c r="D168" s="47">
        <v>1.845178</v>
      </c>
      <c r="E168" s="9">
        <v>4.1100000000000002E-4</v>
      </c>
      <c r="F168" s="1">
        <v>-9.9299999999999996E-4</v>
      </c>
      <c r="G168" s="1">
        <v>9.9999999999999995E-7</v>
      </c>
      <c r="H168" s="1">
        <v>1</v>
      </c>
      <c r="I168" s="12">
        <v>14</v>
      </c>
      <c r="J168" s="18" t="str">
        <f t="shared" si="9"/>
        <v>TAK</v>
      </c>
      <c r="K168" s="9">
        <v>3.8999999999999999E-5</v>
      </c>
      <c r="L168" s="9">
        <v>-3.2299999999999999E-4</v>
      </c>
      <c r="M168" s="9">
        <v>0</v>
      </c>
      <c r="N168" s="1">
        <v>1</v>
      </c>
      <c r="O168" s="12">
        <v>43</v>
      </c>
      <c r="P168" s="18" t="str">
        <f t="shared" si="10"/>
        <v>TAK</v>
      </c>
      <c r="Q168" s="15">
        <v>1.0707789999999999</v>
      </c>
      <c r="R168" s="1">
        <v>-0.53285499999999997</v>
      </c>
      <c r="S168" s="1">
        <v>0.87736800000000004</v>
      </c>
      <c r="T168" s="1">
        <v>1</v>
      </c>
      <c r="U168" s="1">
        <v>24</v>
      </c>
      <c r="V168" s="12">
        <v>24</v>
      </c>
      <c r="W168" s="18" t="str">
        <f t="shared" si="11"/>
        <v>NIE</v>
      </c>
    </row>
    <row r="169" spans="1:23" ht="15" thickBot="1" x14ac:dyDescent="0.35">
      <c r="A169" s="54"/>
      <c r="B169" s="39">
        <v>66</v>
      </c>
      <c r="C169" s="15">
        <v>0.361705</v>
      </c>
      <c r="D169" s="47">
        <v>0.40337499999999998</v>
      </c>
      <c r="E169" s="9">
        <v>-5.0100000000000003E-4</v>
      </c>
      <c r="F169" s="1">
        <v>1.209E-3</v>
      </c>
      <c r="G169" s="1">
        <v>9.9999999999999995E-7</v>
      </c>
      <c r="H169" s="1">
        <v>1</v>
      </c>
      <c r="I169" s="12">
        <v>10</v>
      </c>
      <c r="J169" s="18" t="str">
        <f t="shared" si="9"/>
        <v>TAK</v>
      </c>
      <c r="K169" s="9">
        <v>-1.76E-4</v>
      </c>
      <c r="L169" s="9">
        <v>4.66E-4</v>
      </c>
      <c r="M169" s="9">
        <v>0</v>
      </c>
      <c r="N169" s="1">
        <v>1</v>
      </c>
      <c r="O169" s="12">
        <v>19</v>
      </c>
      <c r="P169" s="18" t="str">
        <f t="shared" si="10"/>
        <v>TAK</v>
      </c>
      <c r="Q169" s="15">
        <v>1.524E-3</v>
      </c>
      <c r="R169" s="1">
        <v>2.532E-3</v>
      </c>
      <c r="S169" s="1">
        <v>1.5E-5</v>
      </c>
      <c r="T169" s="1">
        <v>1</v>
      </c>
      <c r="U169" s="1">
        <v>18</v>
      </c>
      <c r="V169" s="12">
        <v>18</v>
      </c>
      <c r="W169" s="18" t="str">
        <f t="shared" si="11"/>
        <v>TAK</v>
      </c>
    </row>
    <row r="170" spans="1:23" ht="15" thickBot="1" x14ac:dyDescent="0.35">
      <c r="A170" s="54"/>
      <c r="B170" s="39">
        <v>67</v>
      </c>
      <c r="C170" s="15">
        <v>0.77401399999999998</v>
      </c>
      <c r="D170" s="47">
        <v>1.97312</v>
      </c>
      <c r="E170" s="9">
        <v>-4.1800000000000002E-4</v>
      </c>
      <c r="F170" s="1">
        <v>1.0089999999999999E-3</v>
      </c>
      <c r="G170" s="1">
        <v>9.9999999999999995E-7</v>
      </c>
      <c r="H170" s="1">
        <v>1</v>
      </c>
      <c r="I170" s="12">
        <v>14</v>
      </c>
      <c r="J170" s="18" t="str">
        <f t="shared" si="9"/>
        <v>TAK</v>
      </c>
      <c r="K170" s="9">
        <v>-5.5999999999999999E-5</v>
      </c>
      <c r="L170" s="9">
        <v>1.7799999999999999E-4</v>
      </c>
      <c r="M170" s="9">
        <v>0</v>
      </c>
      <c r="N170" s="1">
        <v>1</v>
      </c>
      <c r="O170" s="12">
        <v>25</v>
      </c>
      <c r="P170" s="18" t="str">
        <f t="shared" si="10"/>
        <v>TAK</v>
      </c>
      <c r="Q170" s="15">
        <v>1.0703339999999999</v>
      </c>
      <c r="R170" s="1">
        <v>-0.53279900000000002</v>
      </c>
      <c r="S170" s="1">
        <v>0.87736700000000001</v>
      </c>
      <c r="T170" s="1">
        <v>1</v>
      </c>
      <c r="U170" s="1">
        <v>24</v>
      </c>
      <c r="V170" s="12">
        <v>24</v>
      </c>
      <c r="W170" s="18" t="str">
        <f t="shared" si="11"/>
        <v>NIE</v>
      </c>
    </row>
    <row r="171" spans="1:23" ht="15" thickBot="1" x14ac:dyDescent="0.35">
      <c r="A171" s="54"/>
      <c r="B171" s="39">
        <v>68</v>
      </c>
      <c r="C171" s="15">
        <v>0.96951100000000001</v>
      </c>
      <c r="D171" s="47">
        <v>0.39625899999999997</v>
      </c>
      <c r="E171" s="9">
        <v>4.1800000000000002E-4</v>
      </c>
      <c r="F171" s="1">
        <v>-1.01E-3</v>
      </c>
      <c r="G171" s="1">
        <v>9.9999999999999995E-7</v>
      </c>
      <c r="H171" s="1">
        <v>1</v>
      </c>
      <c r="I171" s="12">
        <v>13</v>
      </c>
      <c r="J171" s="18" t="str">
        <f t="shared" si="9"/>
        <v>TAK</v>
      </c>
      <c r="K171" s="9">
        <v>3.6000000000000001E-5</v>
      </c>
      <c r="L171" s="9">
        <v>-6.5899999999999997E-4</v>
      </c>
      <c r="M171" s="9">
        <v>0</v>
      </c>
      <c r="N171" s="1">
        <v>1</v>
      </c>
      <c r="O171" s="12">
        <v>22</v>
      </c>
      <c r="P171" s="18" t="str">
        <f t="shared" si="10"/>
        <v>TAK</v>
      </c>
      <c r="Q171" s="15">
        <v>1.0702419999999999</v>
      </c>
      <c r="R171" s="1">
        <v>-0.53232699999999999</v>
      </c>
      <c r="S171" s="1">
        <v>0.87736899999999995</v>
      </c>
      <c r="T171" s="1">
        <v>1</v>
      </c>
      <c r="U171" s="1">
        <v>20</v>
      </c>
      <c r="V171" s="12">
        <v>20</v>
      </c>
      <c r="W171" s="18" t="str">
        <f t="shared" si="11"/>
        <v>NIE</v>
      </c>
    </row>
    <row r="172" spans="1:23" ht="15" thickBot="1" x14ac:dyDescent="0.35">
      <c r="A172" s="54"/>
      <c r="B172" s="39">
        <v>69</v>
      </c>
      <c r="C172" s="15">
        <v>1.0671550000000001</v>
      </c>
      <c r="D172" s="47">
        <v>1.265871</v>
      </c>
      <c r="E172" s="9">
        <v>4.35E-4</v>
      </c>
      <c r="F172" s="1">
        <v>-1.049E-3</v>
      </c>
      <c r="G172" s="1">
        <v>9.9999999999999995E-7</v>
      </c>
      <c r="H172" s="1">
        <v>1</v>
      </c>
      <c r="I172" s="12">
        <v>8</v>
      </c>
      <c r="J172" s="18" t="str">
        <f t="shared" si="9"/>
        <v>TAK</v>
      </c>
      <c r="K172" s="9">
        <v>3.1399999999999999E-4</v>
      </c>
      <c r="L172" s="9">
        <v>-3.5100000000000002E-4</v>
      </c>
      <c r="M172" s="9">
        <v>0</v>
      </c>
      <c r="N172" s="1">
        <v>1</v>
      </c>
      <c r="O172" s="12">
        <v>25</v>
      </c>
      <c r="P172" s="18" t="str">
        <f t="shared" si="10"/>
        <v>TAK</v>
      </c>
      <c r="Q172" s="15">
        <v>1.070538</v>
      </c>
      <c r="R172" s="1">
        <v>-0.53286100000000003</v>
      </c>
      <c r="S172" s="1">
        <v>0.87736700000000001</v>
      </c>
      <c r="T172" s="1">
        <v>1</v>
      </c>
      <c r="U172" s="1">
        <v>23</v>
      </c>
      <c r="V172" s="12">
        <v>23</v>
      </c>
      <c r="W172" s="18" t="str">
        <f t="shared" si="11"/>
        <v>NIE</v>
      </c>
    </row>
    <row r="173" spans="1:23" ht="15" thickBot="1" x14ac:dyDescent="0.35">
      <c r="A173" s="54"/>
      <c r="B173" s="39">
        <v>70</v>
      </c>
      <c r="C173" s="15">
        <v>1.8754200000000001</v>
      </c>
      <c r="D173" s="47">
        <v>1.163586</v>
      </c>
      <c r="E173" s="9">
        <v>3.57E-4</v>
      </c>
      <c r="F173" s="1">
        <v>-8.6200000000000003E-4</v>
      </c>
      <c r="G173" s="1">
        <v>9.9999999999999995E-7</v>
      </c>
      <c r="H173" s="1">
        <v>1</v>
      </c>
      <c r="I173" s="12">
        <v>14</v>
      </c>
      <c r="J173" s="18" t="str">
        <f t="shared" si="9"/>
        <v>TAK</v>
      </c>
      <c r="K173" s="9">
        <v>2.0999999999999999E-5</v>
      </c>
      <c r="L173" s="9">
        <v>-1.4300000000000001E-4</v>
      </c>
      <c r="M173" s="9">
        <v>0</v>
      </c>
      <c r="N173" s="1">
        <v>1</v>
      </c>
      <c r="O173" s="12">
        <v>40</v>
      </c>
      <c r="P173" s="18" t="str">
        <f t="shared" si="10"/>
        <v>TAK</v>
      </c>
      <c r="Q173" s="15">
        <v>1.7478119999999999</v>
      </c>
      <c r="R173" s="1">
        <v>-0.87109499999999995</v>
      </c>
      <c r="S173" s="1">
        <v>0.298647</v>
      </c>
      <c r="T173" s="1">
        <v>1</v>
      </c>
      <c r="U173" s="1">
        <v>23</v>
      </c>
      <c r="V173" s="12">
        <v>23</v>
      </c>
      <c r="W173" s="18" t="str">
        <f t="shared" si="11"/>
        <v>NIE</v>
      </c>
    </row>
    <row r="174" spans="1:23" ht="15" thickBot="1" x14ac:dyDescent="0.35">
      <c r="A174" s="54"/>
      <c r="B174" s="39">
        <v>71</v>
      </c>
      <c r="C174" s="15">
        <v>0.69736399999999998</v>
      </c>
      <c r="D174" s="47">
        <v>1.9063289999999999</v>
      </c>
      <c r="E174" s="9">
        <v>-4.2999999999999999E-4</v>
      </c>
      <c r="F174" s="1">
        <v>1.039E-3</v>
      </c>
      <c r="G174" s="1">
        <v>9.9999999999999995E-7</v>
      </c>
      <c r="H174" s="1">
        <v>1</v>
      </c>
      <c r="I174" s="12">
        <v>14</v>
      </c>
      <c r="J174" s="18" t="str">
        <f t="shared" si="9"/>
        <v>TAK</v>
      </c>
      <c r="K174" s="9">
        <v>-1.2799999999999999E-4</v>
      </c>
      <c r="L174" s="9">
        <v>5.4000000000000001E-4</v>
      </c>
      <c r="M174" s="9">
        <v>0</v>
      </c>
      <c r="N174" s="1">
        <v>1</v>
      </c>
      <c r="O174" s="12">
        <v>23</v>
      </c>
      <c r="P174" s="18" t="str">
        <f t="shared" si="10"/>
        <v>TAK</v>
      </c>
      <c r="Q174" s="15">
        <v>1.0703450000000001</v>
      </c>
      <c r="R174" s="1">
        <v>-0.53290999999999999</v>
      </c>
      <c r="S174" s="1">
        <v>0.87736700000000001</v>
      </c>
      <c r="T174" s="1">
        <v>1</v>
      </c>
      <c r="U174" s="1">
        <v>24</v>
      </c>
      <c r="V174" s="12">
        <v>24</v>
      </c>
      <c r="W174" s="18" t="str">
        <f t="shared" si="11"/>
        <v>NIE</v>
      </c>
    </row>
    <row r="175" spans="1:23" ht="15" thickBot="1" x14ac:dyDescent="0.35">
      <c r="A175" s="54"/>
      <c r="B175" s="39">
        <v>72</v>
      </c>
      <c r="C175" s="15">
        <v>0.30684099999999997</v>
      </c>
      <c r="D175" s="47">
        <v>1.705136</v>
      </c>
      <c r="E175" s="9">
        <v>-5.04E-4</v>
      </c>
      <c r="F175" s="1">
        <v>1.217E-3</v>
      </c>
      <c r="G175" s="1">
        <v>9.9999999999999995E-7</v>
      </c>
      <c r="H175" s="1">
        <v>1</v>
      </c>
      <c r="I175" s="12">
        <v>14</v>
      </c>
      <c r="J175" s="18" t="str">
        <f t="shared" si="9"/>
        <v>TAK</v>
      </c>
      <c r="K175" s="9">
        <v>-6.6000000000000005E-5</v>
      </c>
      <c r="L175" s="9">
        <v>3.6999999999999999E-4</v>
      </c>
      <c r="M175" s="9">
        <v>0</v>
      </c>
      <c r="N175" s="1">
        <v>1</v>
      </c>
      <c r="O175" s="12">
        <v>25</v>
      </c>
      <c r="P175" s="18" t="str">
        <f t="shared" si="10"/>
        <v>TAK</v>
      </c>
      <c r="Q175" s="15">
        <v>3.3799999999999998E-4</v>
      </c>
      <c r="R175" s="1">
        <v>2.317E-3</v>
      </c>
      <c r="S175" s="1">
        <v>6.0000000000000002E-6</v>
      </c>
      <c r="T175" s="1">
        <v>1</v>
      </c>
      <c r="U175" s="1">
        <v>23</v>
      </c>
      <c r="V175" s="12">
        <v>23</v>
      </c>
      <c r="W175" s="18" t="str">
        <f t="shared" si="11"/>
        <v>TAK</v>
      </c>
    </row>
    <row r="176" spans="1:23" ht="15" thickBot="1" x14ac:dyDescent="0.35">
      <c r="A176" s="54"/>
      <c r="B176" s="39">
        <v>73</v>
      </c>
      <c r="C176" s="15">
        <v>1.932615</v>
      </c>
      <c r="D176" s="47">
        <v>0.33300600000000002</v>
      </c>
      <c r="E176" s="9">
        <v>5.1500000000000005E-4</v>
      </c>
      <c r="F176" s="1">
        <v>-1.243E-3</v>
      </c>
      <c r="G176" s="1">
        <v>9.9999999999999995E-7</v>
      </c>
      <c r="H176" s="1">
        <v>1</v>
      </c>
      <c r="I176" s="12">
        <v>14</v>
      </c>
      <c r="J176" s="18" t="str">
        <f t="shared" si="9"/>
        <v>TAK</v>
      </c>
      <c r="K176" s="9" t="s">
        <v>23</v>
      </c>
      <c r="L176" s="9" t="s">
        <v>23</v>
      </c>
      <c r="M176" s="9" t="s">
        <v>23</v>
      </c>
      <c r="N176" s="1">
        <v>1</v>
      </c>
      <c r="O176" s="12">
        <v>31</v>
      </c>
      <c r="P176" s="18" t="e">
        <f t="shared" si="10"/>
        <v>#VALUE!</v>
      </c>
      <c r="Q176" s="15">
        <v>1.7483420000000001</v>
      </c>
      <c r="R176" s="1">
        <v>-0.87108099999999999</v>
      </c>
      <c r="S176" s="1">
        <v>0.29865199999999997</v>
      </c>
      <c r="T176" s="1">
        <v>1</v>
      </c>
      <c r="U176" s="1">
        <v>21</v>
      </c>
      <c r="V176" s="12">
        <v>21</v>
      </c>
      <c r="W176" s="18" t="str">
        <f t="shared" si="11"/>
        <v>NIE</v>
      </c>
    </row>
    <row r="177" spans="1:23" ht="15" thickBot="1" x14ac:dyDescent="0.35">
      <c r="A177" s="54"/>
      <c r="B177" s="39">
        <v>74</v>
      </c>
      <c r="C177" s="15">
        <v>1.206548</v>
      </c>
      <c r="D177" s="47">
        <v>1.5261910000000001</v>
      </c>
      <c r="E177" s="9">
        <v>3.8200000000000002E-4</v>
      </c>
      <c r="F177" s="1">
        <v>-9.2100000000000005E-4</v>
      </c>
      <c r="G177" s="1">
        <v>9.9999999999999995E-7</v>
      </c>
      <c r="H177" s="1">
        <v>1</v>
      </c>
      <c r="I177" s="12">
        <v>12</v>
      </c>
      <c r="J177" s="18" t="str">
        <f t="shared" si="9"/>
        <v>TAK</v>
      </c>
      <c r="K177" s="9">
        <v>-1.4799999999999999E-4</v>
      </c>
      <c r="L177" s="9">
        <v>3.9500000000000001E-4</v>
      </c>
      <c r="M177" s="9">
        <v>0</v>
      </c>
      <c r="N177" s="1">
        <v>1</v>
      </c>
      <c r="O177" s="12">
        <v>28</v>
      </c>
      <c r="P177" s="18" t="str">
        <f t="shared" si="10"/>
        <v>TAK</v>
      </c>
      <c r="Q177" s="15">
        <v>1.070724</v>
      </c>
      <c r="R177" s="1">
        <v>-0.53251300000000001</v>
      </c>
      <c r="S177" s="1">
        <v>0.87736999999999998</v>
      </c>
      <c r="T177" s="1">
        <v>1</v>
      </c>
      <c r="U177" s="1">
        <v>23</v>
      </c>
      <c r="V177" s="12">
        <v>23</v>
      </c>
      <c r="W177" s="18" t="str">
        <f t="shared" si="11"/>
        <v>NIE</v>
      </c>
    </row>
    <row r="178" spans="1:23" ht="15" thickBot="1" x14ac:dyDescent="0.35">
      <c r="A178" s="54"/>
      <c r="B178" s="39">
        <v>75</v>
      </c>
      <c r="C178" s="15">
        <v>1.8729990000000001</v>
      </c>
      <c r="D178" s="47">
        <v>1.8267580000000001</v>
      </c>
      <c r="E178" s="9">
        <v>4.66E-4</v>
      </c>
      <c r="F178" s="1">
        <v>-1.124E-3</v>
      </c>
      <c r="G178" s="1">
        <v>9.9999999999999995E-7</v>
      </c>
      <c r="H178" s="1">
        <v>1</v>
      </c>
      <c r="I178" s="12">
        <v>8</v>
      </c>
      <c r="J178" s="18" t="str">
        <f t="shared" si="9"/>
        <v>TAK</v>
      </c>
      <c r="K178" s="9">
        <v>2.24E-4</v>
      </c>
      <c r="L178" s="9">
        <v>-4.6099999999999998E-4</v>
      </c>
      <c r="M178" s="9">
        <v>0</v>
      </c>
      <c r="N178" s="1">
        <v>1</v>
      </c>
      <c r="O178" s="12">
        <v>22</v>
      </c>
      <c r="P178" s="18" t="str">
        <f t="shared" si="10"/>
        <v>TAK</v>
      </c>
      <c r="Q178" s="15">
        <v>1.7477419999999999</v>
      </c>
      <c r="R178" s="1">
        <v>-0.87109899999999996</v>
      </c>
      <c r="S178" s="1">
        <v>0.29864600000000002</v>
      </c>
      <c r="T178" s="1">
        <v>1</v>
      </c>
      <c r="U178" s="1">
        <v>24</v>
      </c>
      <c r="V178" s="12">
        <v>24</v>
      </c>
      <c r="W178" s="18" t="str">
        <f t="shared" si="11"/>
        <v>NIE</v>
      </c>
    </row>
    <row r="179" spans="1:23" ht="15" thickBot="1" x14ac:dyDescent="0.35">
      <c r="A179" s="54"/>
      <c r="B179" s="39">
        <v>76</v>
      </c>
      <c r="C179" s="15">
        <v>1.6735610000000001</v>
      </c>
      <c r="D179" s="47">
        <v>1.7708159999999999</v>
      </c>
      <c r="E179" s="9">
        <v>3.6299999999999999E-4</v>
      </c>
      <c r="F179" s="1">
        <v>-8.7699999999999996E-4</v>
      </c>
      <c r="G179" s="1">
        <v>9.9999999999999995E-7</v>
      </c>
      <c r="H179" s="1">
        <v>1</v>
      </c>
      <c r="I179" s="12">
        <v>18</v>
      </c>
      <c r="J179" s="18" t="str">
        <f t="shared" si="9"/>
        <v>TAK</v>
      </c>
      <c r="K179" s="9" t="s">
        <v>23</v>
      </c>
      <c r="L179" s="9" t="e">
        <v>#NAME?</v>
      </c>
      <c r="M179" s="9" t="s">
        <v>23</v>
      </c>
      <c r="N179" s="1">
        <v>1</v>
      </c>
      <c r="O179" s="12">
        <v>25</v>
      </c>
      <c r="P179" s="18" t="e">
        <f t="shared" si="10"/>
        <v>#VALUE!</v>
      </c>
      <c r="Q179" s="15">
        <v>1.7474970000000001</v>
      </c>
      <c r="R179" s="1">
        <v>-0.87113200000000002</v>
      </c>
      <c r="S179" s="1">
        <v>0.29864499999999999</v>
      </c>
      <c r="T179" s="1">
        <v>1</v>
      </c>
      <c r="U179" s="1">
        <v>24</v>
      </c>
      <c r="V179" s="12">
        <v>24</v>
      </c>
      <c r="W179" s="18" t="str">
        <f t="shared" si="11"/>
        <v>NIE</v>
      </c>
    </row>
    <row r="180" spans="1:23" ht="15" thickBot="1" x14ac:dyDescent="0.35">
      <c r="A180" s="54"/>
      <c r="B180" s="39">
        <v>77</v>
      </c>
      <c r="C180" s="15">
        <v>0.83230700000000002</v>
      </c>
      <c r="D180" s="47">
        <v>0.66459199999999996</v>
      </c>
      <c r="E180" s="9">
        <v>4.5100000000000001E-4</v>
      </c>
      <c r="F180" s="1">
        <v>-1.09E-3</v>
      </c>
      <c r="G180" s="1">
        <v>9.9999999999999995E-7</v>
      </c>
      <c r="H180" s="1">
        <v>1</v>
      </c>
      <c r="I180" s="12">
        <v>8</v>
      </c>
      <c r="J180" s="18" t="str">
        <f t="shared" si="9"/>
        <v>TAK</v>
      </c>
      <c r="K180" s="9">
        <v>3.8900000000000002E-4</v>
      </c>
      <c r="L180" s="9">
        <v>-3.48E-4</v>
      </c>
      <c r="M180" s="9">
        <v>0</v>
      </c>
      <c r="N180" s="1">
        <v>1</v>
      </c>
      <c r="O180" s="12">
        <v>25</v>
      </c>
      <c r="P180" s="18" t="str">
        <f t="shared" si="10"/>
        <v>TAK</v>
      </c>
      <c r="Q180" s="15">
        <v>1.070095</v>
      </c>
      <c r="R180" s="1">
        <v>-0.53247699999999998</v>
      </c>
      <c r="S180" s="1">
        <v>0.87736800000000004</v>
      </c>
      <c r="T180" s="1">
        <v>1</v>
      </c>
      <c r="U180" s="1">
        <v>21</v>
      </c>
      <c r="V180" s="12">
        <v>21</v>
      </c>
      <c r="W180" s="18" t="str">
        <f t="shared" si="11"/>
        <v>NIE</v>
      </c>
    </row>
    <row r="181" spans="1:23" ht="15" thickBot="1" x14ac:dyDescent="0.35">
      <c r="A181" s="54"/>
      <c r="B181" s="39">
        <v>78</v>
      </c>
      <c r="C181" s="15">
        <v>1.5606359999999999</v>
      </c>
      <c r="D181" s="47">
        <v>0.40912399999999999</v>
      </c>
      <c r="E181" s="9">
        <v>1.7476929999999999</v>
      </c>
      <c r="F181" s="1">
        <v>-0.87277099999999996</v>
      </c>
      <c r="G181" s="1">
        <v>0.29864000000000002</v>
      </c>
      <c r="H181" s="1">
        <v>1</v>
      </c>
      <c r="I181" s="12">
        <v>199234</v>
      </c>
      <c r="J181" s="18" t="str">
        <f t="shared" si="9"/>
        <v>NIE</v>
      </c>
      <c r="K181" s="9" t="s">
        <v>23</v>
      </c>
      <c r="L181" s="9" t="s">
        <v>23</v>
      </c>
      <c r="M181" s="9" t="s">
        <v>23</v>
      </c>
      <c r="N181" s="1">
        <v>1</v>
      </c>
      <c r="O181" s="12">
        <v>37</v>
      </c>
      <c r="P181" s="18" t="e">
        <f t="shared" si="10"/>
        <v>#VALUE!</v>
      </c>
      <c r="Q181" s="15">
        <v>1.7473989999999999</v>
      </c>
      <c r="R181" s="1">
        <v>-0.87087000000000003</v>
      </c>
      <c r="S181" s="1">
        <v>0.298647</v>
      </c>
      <c r="T181" s="1">
        <v>1</v>
      </c>
      <c r="U181" s="1">
        <v>21</v>
      </c>
      <c r="V181" s="12">
        <v>21</v>
      </c>
      <c r="W181" s="18" t="str">
        <f t="shared" si="11"/>
        <v>NIE</v>
      </c>
    </row>
    <row r="182" spans="1:23" ht="15" thickBot="1" x14ac:dyDescent="0.35">
      <c r="A182" s="54"/>
      <c r="B182" s="39">
        <v>79</v>
      </c>
      <c r="C182" s="15">
        <v>0.98490699999999998</v>
      </c>
      <c r="D182" s="47">
        <v>0.83480200000000004</v>
      </c>
      <c r="E182" s="9">
        <v>4.1599999999999997E-4</v>
      </c>
      <c r="F182" s="1">
        <v>-1.0039999999999999E-3</v>
      </c>
      <c r="G182" s="1">
        <v>9.9999999999999995E-7</v>
      </c>
      <c r="H182" s="1">
        <v>1</v>
      </c>
      <c r="I182" s="12">
        <v>11</v>
      </c>
      <c r="J182" s="18" t="str">
        <f t="shared" si="9"/>
        <v>TAK</v>
      </c>
      <c r="K182" s="9">
        <v>2.3E-5</v>
      </c>
      <c r="L182" s="9">
        <v>-2.7599999999999999E-4</v>
      </c>
      <c r="M182" s="9">
        <v>0</v>
      </c>
      <c r="N182" s="1">
        <v>1</v>
      </c>
      <c r="O182" s="12">
        <v>28</v>
      </c>
      <c r="P182" s="18" t="str">
        <f t="shared" si="10"/>
        <v>TAK</v>
      </c>
      <c r="Q182" s="15">
        <v>1.070397</v>
      </c>
      <c r="R182" s="1">
        <v>-0.53283100000000005</v>
      </c>
      <c r="S182" s="1">
        <v>0.87736700000000001</v>
      </c>
      <c r="T182" s="1">
        <v>1</v>
      </c>
      <c r="U182" s="1">
        <v>22</v>
      </c>
      <c r="V182" s="12">
        <v>22</v>
      </c>
      <c r="W182" s="18" t="str">
        <f t="shared" si="11"/>
        <v>NIE</v>
      </c>
    </row>
    <row r="183" spans="1:23" ht="15" thickBot="1" x14ac:dyDescent="0.35">
      <c r="A183" s="54"/>
      <c r="B183" s="39">
        <v>80</v>
      </c>
      <c r="C183" s="15">
        <v>0.98124400000000001</v>
      </c>
      <c r="D183" s="47">
        <v>0.73009400000000002</v>
      </c>
      <c r="E183" s="9">
        <v>3.5199999999999999E-4</v>
      </c>
      <c r="F183" s="1">
        <v>-8.4900000000000004E-4</v>
      </c>
      <c r="G183" s="1">
        <v>9.9999999999999995E-7</v>
      </c>
      <c r="H183" s="1">
        <v>1</v>
      </c>
      <c r="I183" s="12">
        <v>12</v>
      </c>
      <c r="J183" s="18" t="str">
        <f t="shared" si="9"/>
        <v>TAK</v>
      </c>
      <c r="K183" s="9">
        <v>4.6E-5</v>
      </c>
      <c r="L183" s="9">
        <v>-2.7900000000000001E-4</v>
      </c>
      <c r="M183" s="9">
        <v>0</v>
      </c>
      <c r="N183" s="1">
        <v>1</v>
      </c>
      <c r="O183" s="12">
        <v>28</v>
      </c>
      <c r="P183" s="18" t="str">
        <f t="shared" si="10"/>
        <v>TAK</v>
      </c>
      <c r="Q183" s="15">
        <v>1.0703910000000001</v>
      </c>
      <c r="R183" s="1">
        <v>-0.53301799999999999</v>
      </c>
      <c r="S183" s="1">
        <v>0.87736599999999998</v>
      </c>
      <c r="T183" s="1">
        <v>1</v>
      </c>
      <c r="U183" s="1">
        <v>22</v>
      </c>
      <c r="V183" s="12">
        <v>22</v>
      </c>
      <c r="W183" s="18" t="str">
        <f t="shared" si="11"/>
        <v>NIE</v>
      </c>
    </row>
    <row r="184" spans="1:23" ht="15" thickBot="1" x14ac:dyDescent="0.35">
      <c r="A184" s="54"/>
      <c r="B184" s="39">
        <v>81</v>
      </c>
      <c r="C184" s="15">
        <v>0.53608</v>
      </c>
      <c r="D184" s="47">
        <v>1.338721</v>
      </c>
      <c r="E184" s="9">
        <v>-5.13E-4</v>
      </c>
      <c r="F184" s="1">
        <v>1.238E-3</v>
      </c>
      <c r="G184" s="1">
        <v>9.9999999999999995E-7</v>
      </c>
      <c r="H184" s="1">
        <v>1</v>
      </c>
      <c r="I184" s="12">
        <v>13</v>
      </c>
      <c r="J184" s="18" t="str">
        <f t="shared" si="9"/>
        <v>TAK</v>
      </c>
      <c r="K184" s="9">
        <v>-5.5999999999999999E-5</v>
      </c>
      <c r="L184" s="9">
        <v>2.5900000000000001E-4</v>
      </c>
      <c r="M184" s="9">
        <v>0</v>
      </c>
      <c r="N184" s="1">
        <v>1</v>
      </c>
      <c r="O184" s="12">
        <v>25</v>
      </c>
      <c r="P184" s="18" t="str">
        <f t="shared" si="10"/>
        <v>TAK</v>
      </c>
      <c r="Q184" s="15">
        <v>1.7503089999999999</v>
      </c>
      <c r="R184" s="1">
        <v>-0.87486799999999998</v>
      </c>
      <c r="S184" s="1">
        <v>0.29868299999999998</v>
      </c>
      <c r="T184" s="1">
        <v>1</v>
      </c>
      <c r="U184" s="1">
        <v>30</v>
      </c>
      <c r="V184" s="12">
        <v>30</v>
      </c>
      <c r="W184" s="18" t="str">
        <f t="shared" si="11"/>
        <v>NIE</v>
      </c>
    </row>
    <row r="185" spans="1:23" ht="15" thickBot="1" x14ac:dyDescent="0.35">
      <c r="A185" s="54"/>
      <c r="B185" s="39">
        <v>82</v>
      </c>
      <c r="C185" s="15">
        <v>0.87786500000000001</v>
      </c>
      <c r="D185" s="47">
        <v>2.6492000000000002E-2</v>
      </c>
      <c r="E185" s="9">
        <v>4.84E-4</v>
      </c>
      <c r="F185" s="1">
        <v>-1.1670000000000001E-3</v>
      </c>
      <c r="G185" s="1">
        <v>9.9999999999999995E-7</v>
      </c>
      <c r="H185" s="1">
        <v>1</v>
      </c>
      <c r="I185" s="12">
        <v>13</v>
      </c>
      <c r="J185" s="18" t="str">
        <f t="shared" si="9"/>
        <v>TAK</v>
      </c>
      <c r="K185" s="9">
        <v>-1.01E-4</v>
      </c>
      <c r="L185" s="9">
        <v>1.4300000000000001E-4</v>
      </c>
      <c r="M185" s="9">
        <v>0</v>
      </c>
      <c r="N185" s="1">
        <v>1</v>
      </c>
      <c r="O185" s="12">
        <v>37</v>
      </c>
      <c r="P185" s="18" t="str">
        <f t="shared" si="10"/>
        <v>TAK</v>
      </c>
      <c r="Q185" s="15">
        <v>1.0698529999999999</v>
      </c>
      <c r="R185" s="1">
        <v>-0.53295800000000004</v>
      </c>
      <c r="S185" s="1">
        <v>0.87736400000000003</v>
      </c>
      <c r="T185" s="1">
        <v>1</v>
      </c>
      <c r="U185" s="1">
        <v>19</v>
      </c>
      <c r="V185" s="12">
        <v>19</v>
      </c>
      <c r="W185" s="18" t="str">
        <f t="shared" si="11"/>
        <v>NIE</v>
      </c>
    </row>
    <row r="186" spans="1:23" ht="15" thickBot="1" x14ac:dyDescent="0.35">
      <c r="A186" s="54"/>
      <c r="B186" s="39">
        <v>83</v>
      </c>
      <c r="C186" s="15">
        <v>0.43540800000000002</v>
      </c>
      <c r="D186" s="47">
        <v>1.2206109999999999</v>
      </c>
      <c r="E186" s="9">
        <v>-5.0100000000000003E-4</v>
      </c>
      <c r="F186" s="1">
        <v>1.209E-3</v>
      </c>
      <c r="G186" s="1">
        <v>9.9999999999999995E-7</v>
      </c>
      <c r="H186" s="1">
        <v>1</v>
      </c>
      <c r="I186" s="12">
        <v>13</v>
      </c>
      <c r="J186" s="18" t="str">
        <f t="shared" si="9"/>
        <v>TAK</v>
      </c>
      <c r="K186" s="9">
        <v>-7.1000000000000005E-5</v>
      </c>
      <c r="L186" s="9">
        <v>2.6699999999999998E-4</v>
      </c>
      <c r="M186" s="9">
        <v>0</v>
      </c>
      <c r="N186" s="1">
        <v>1</v>
      </c>
      <c r="O186" s="12">
        <v>25</v>
      </c>
      <c r="P186" s="18" t="str">
        <f t="shared" si="10"/>
        <v>TAK</v>
      </c>
      <c r="Q186" s="15">
        <v>4.4900000000000002E-4</v>
      </c>
      <c r="R186" s="1">
        <v>2.3410000000000002E-3</v>
      </c>
      <c r="S186" s="1">
        <v>6.9999999999999999E-6</v>
      </c>
      <c r="T186" s="1">
        <v>1</v>
      </c>
      <c r="U186" s="1">
        <v>22</v>
      </c>
      <c r="V186" s="12">
        <v>22</v>
      </c>
      <c r="W186" s="18" t="str">
        <f t="shared" si="11"/>
        <v>TAK</v>
      </c>
    </row>
    <row r="187" spans="1:23" ht="15" thickBot="1" x14ac:dyDescent="0.35">
      <c r="A187" s="54"/>
      <c r="B187" s="39">
        <v>84</v>
      </c>
      <c r="C187" s="15">
        <v>0.472468</v>
      </c>
      <c r="D187" s="47">
        <v>1.7360329999999999</v>
      </c>
      <c r="E187" s="9">
        <v>-4.64E-4</v>
      </c>
      <c r="F187" s="1">
        <v>1.1199999999999999E-3</v>
      </c>
      <c r="G187" s="1">
        <v>9.9999999999999995E-7</v>
      </c>
      <c r="H187" s="1">
        <v>1</v>
      </c>
      <c r="I187" s="12">
        <v>14</v>
      </c>
      <c r="J187" s="18" t="str">
        <f t="shared" si="9"/>
        <v>TAK</v>
      </c>
      <c r="K187" s="9">
        <v>-7.2999999999999999E-5</v>
      </c>
      <c r="L187" s="9">
        <v>3.59E-4</v>
      </c>
      <c r="M187" s="9">
        <v>0</v>
      </c>
      <c r="N187" s="1">
        <v>1</v>
      </c>
      <c r="O187" s="12">
        <v>25</v>
      </c>
      <c r="P187" s="18" t="str">
        <f t="shared" si="10"/>
        <v>TAK</v>
      </c>
      <c r="Q187" s="15">
        <v>2.4600000000000002E-4</v>
      </c>
      <c r="R187" s="1">
        <v>2.516E-3</v>
      </c>
      <c r="S187" s="1">
        <v>6.9999999999999999E-6</v>
      </c>
      <c r="T187" s="1">
        <v>1</v>
      </c>
      <c r="U187" s="1">
        <v>23</v>
      </c>
      <c r="V187" s="12">
        <v>23</v>
      </c>
      <c r="W187" s="18" t="str">
        <f t="shared" si="11"/>
        <v>TAK</v>
      </c>
    </row>
    <row r="188" spans="1:23" ht="15" thickBot="1" x14ac:dyDescent="0.35">
      <c r="A188" s="54"/>
      <c r="B188" s="39">
        <v>85</v>
      </c>
      <c r="C188" s="15">
        <v>1.519844</v>
      </c>
      <c r="D188" s="47">
        <v>0.773227</v>
      </c>
      <c r="E188" s="9">
        <v>1.747592</v>
      </c>
      <c r="F188" s="1">
        <v>-0.87271600000000005</v>
      </c>
      <c r="G188" s="1">
        <v>0.29864000000000002</v>
      </c>
      <c r="H188" s="1">
        <v>1</v>
      </c>
      <c r="I188" s="12">
        <v>129544</v>
      </c>
      <c r="J188" s="18" t="str">
        <f t="shared" si="9"/>
        <v>NIE</v>
      </c>
      <c r="K188" s="9" t="s">
        <v>23</v>
      </c>
      <c r="L188" s="9" t="s">
        <v>23</v>
      </c>
      <c r="M188" s="9" t="s">
        <v>23</v>
      </c>
      <c r="N188" s="1">
        <v>1</v>
      </c>
      <c r="O188" s="12">
        <v>22</v>
      </c>
      <c r="P188" s="18" t="e">
        <f t="shared" si="10"/>
        <v>#VALUE!</v>
      </c>
      <c r="Q188" s="15">
        <v>1.747797</v>
      </c>
      <c r="R188" s="1">
        <v>-0.87116300000000002</v>
      </c>
      <c r="S188" s="1">
        <v>0.29864600000000002</v>
      </c>
      <c r="T188" s="1">
        <v>1</v>
      </c>
      <c r="U188" s="1">
        <v>22</v>
      </c>
      <c r="V188" s="12">
        <v>22</v>
      </c>
      <c r="W188" s="18" t="str">
        <f t="shared" si="11"/>
        <v>NIE</v>
      </c>
    </row>
    <row r="189" spans="1:23" ht="15" thickBot="1" x14ac:dyDescent="0.35">
      <c r="A189" s="54"/>
      <c r="B189" s="39">
        <v>86</v>
      </c>
      <c r="C189" s="15">
        <v>1.070287</v>
      </c>
      <c r="D189" s="47">
        <v>1.035617</v>
      </c>
      <c r="E189" s="9">
        <v>5.53E-4</v>
      </c>
      <c r="F189" s="1">
        <v>-1.335E-3</v>
      </c>
      <c r="G189" s="1">
        <v>1.9999999999999999E-6</v>
      </c>
      <c r="H189" s="1">
        <v>1</v>
      </c>
      <c r="I189" s="12">
        <v>11</v>
      </c>
      <c r="J189" s="18" t="str">
        <f t="shared" si="9"/>
        <v>TAK</v>
      </c>
      <c r="K189" s="9">
        <v>2.9799999999999998E-4</v>
      </c>
      <c r="L189" s="9">
        <v>-5.6700000000000001E-4</v>
      </c>
      <c r="M189" s="9">
        <v>0</v>
      </c>
      <c r="N189" s="1">
        <v>1</v>
      </c>
      <c r="O189" s="12">
        <v>26</v>
      </c>
      <c r="P189" s="18" t="str">
        <f t="shared" si="10"/>
        <v>TAK</v>
      </c>
      <c r="Q189" s="15">
        <v>1.0705420000000001</v>
      </c>
      <c r="R189" s="1">
        <v>-0.53246899999999997</v>
      </c>
      <c r="S189" s="1">
        <v>0.87736899999999995</v>
      </c>
      <c r="T189" s="1">
        <v>1</v>
      </c>
      <c r="U189" s="1">
        <v>22</v>
      </c>
      <c r="V189" s="12">
        <v>22</v>
      </c>
      <c r="W189" s="18" t="str">
        <f t="shared" si="11"/>
        <v>NIE</v>
      </c>
    </row>
    <row r="190" spans="1:23" ht="15" thickBot="1" x14ac:dyDescent="0.35">
      <c r="A190" s="54"/>
      <c r="B190" s="39">
        <v>87</v>
      </c>
      <c r="C190" s="15">
        <v>0.92399600000000004</v>
      </c>
      <c r="D190" s="47">
        <v>1.8534010000000001</v>
      </c>
      <c r="E190" s="9">
        <v>-5.0900000000000001E-4</v>
      </c>
      <c r="F190" s="1">
        <v>1.2279999999999999E-3</v>
      </c>
      <c r="G190" s="1">
        <v>9.9999999999999995E-7</v>
      </c>
      <c r="H190" s="1">
        <v>1</v>
      </c>
      <c r="I190" s="12">
        <v>13</v>
      </c>
      <c r="J190" s="18" t="str">
        <f t="shared" si="9"/>
        <v>TAK</v>
      </c>
      <c r="K190" s="9">
        <v>5.8200000000000005E-4</v>
      </c>
      <c r="L190" s="9">
        <v>-4.2999999999999999E-4</v>
      </c>
      <c r="M190" s="9">
        <v>9.9999999999999995E-7</v>
      </c>
      <c r="N190" s="1">
        <v>1</v>
      </c>
      <c r="O190" s="12">
        <v>25</v>
      </c>
      <c r="P190" s="18" t="str">
        <f t="shared" si="10"/>
        <v>TAK</v>
      </c>
      <c r="Q190" s="15">
        <v>1.0704100000000001</v>
      </c>
      <c r="R190" s="1">
        <v>-0.53288199999999997</v>
      </c>
      <c r="S190" s="1">
        <v>0.87736700000000001</v>
      </c>
      <c r="T190" s="1">
        <v>1</v>
      </c>
      <c r="U190" s="1">
        <v>24</v>
      </c>
      <c r="V190" s="12">
        <v>24</v>
      </c>
      <c r="W190" s="18" t="str">
        <f t="shared" si="11"/>
        <v>NIE</v>
      </c>
    </row>
    <row r="191" spans="1:23" ht="15" thickBot="1" x14ac:dyDescent="0.35">
      <c r="A191" s="54"/>
      <c r="B191" s="39">
        <v>88</v>
      </c>
      <c r="C191" s="15">
        <v>1.074881</v>
      </c>
      <c r="D191" s="47">
        <v>1.6791700000000001</v>
      </c>
      <c r="E191" s="9">
        <v>-5.8E-4</v>
      </c>
      <c r="F191" s="1">
        <v>1.4E-3</v>
      </c>
      <c r="G191" s="1">
        <v>1.9999999999999999E-6</v>
      </c>
      <c r="H191" s="1">
        <v>1</v>
      </c>
      <c r="I191" s="12">
        <v>11</v>
      </c>
      <c r="J191" s="18" t="str">
        <f t="shared" si="9"/>
        <v>TAK</v>
      </c>
      <c r="K191" s="9">
        <v>5.1900000000000004E-4</v>
      </c>
      <c r="L191" s="9">
        <v>-4.7100000000000001E-4</v>
      </c>
      <c r="M191" s="9">
        <v>9.9999999999999995E-7</v>
      </c>
      <c r="N191" s="1">
        <v>1</v>
      </c>
      <c r="O191" s="12">
        <v>25</v>
      </c>
      <c r="P191" s="18" t="str">
        <f t="shared" si="10"/>
        <v>TAK</v>
      </c>
      <c r="Q191" s="15">
        <v>1.0705480000000001</v>
      </c>
      <c r="R191" s="1">
        <v>-0.53230900000000003</v>
      </c>
      <c r="S191" s="1">
        <v>0.87736999999999998</v>
      </c>
      <c r="T191" s="1">
        <v>1</v>
      </c>
      <c r="U191" s="1">
        <v>23</v>
      </c>
      <c r="V191" s="12">
        <v>23</v>
      </c>
      <c r="W191" s="18" t="str">
        <f t="shared" si="11"/>
        <v>NIE</v>
      </c>
    </row>
    <row r="192" spans="1:23" ht="15" thickBot="1" x14ac:dyDescent="0.35">
      <c r="A192" s="54"/>
      <c r="B192" s="39">
        <v>89</v>
      </c>
      <c r="C192" s="15">
        <v>0.210314</v>
      </c>
      <c r="D192" s="47">
        <v>1.8519099999999999</v>
      </c>
      <c r="E192" s="9">
        <v>-3.5300000000000002E-4</v>
      </c>
      <c r="F192" s="1">
        <v>8.5300000000000003E-4</v>
      </c>
      <c r="G192" s="1">
        <v>9.9999999999999995E-7</v>
      </c>
      <c r="H192" s="1">
        <v>1</v>
      </c>
      <c r="I192" s="12">
        <v>15</v>
      </c>
      <c r="J192" s="18" t="str">
        <f t="shared" si="9"/>
        <v>TAK</v>
      </c>
      <c r="K192" s="9">
        <v>-4.6E-5</v>
      </c>
      <c r="L192" s="9">
        <v>2.7599999999999999E-4</v>
      </c>
      <c r="M192" s="9">
        <v>0</v>
      </c>
      <c r="N192" s="1">
        <v>1</v>
      </c>
      <c r="O192" s="12">
        <v>25</v>
      </c>
      <c r="P192" s="18" t="str">
        <f t="shared" si="10"/>
        <v>TAK</v>
      </c>
      <c r="Q192" s="15">
        <v>2.5900000000000001E-4</v>
      </c>
      <c r="R192" s="1">
        <v>2.4889999999999999E-3</v>
      </c>
      <c r="S192" s="1">
        <v>6.9999999999999999E-6</v>
      </c>
      <c r="T192" s="1">
        <v>1</v>
      </c>
      <c r="U192" s="1">
        <v>23</v>
      </c>
      <c r="V192" s="12">
        <v>23</v>
      </c>
      <c r="W192" s="18" t="str">
        <f t="shared" si="11"/>
        <v>TAK</v>
      </c>
    </row>
    <row r="193" spans="1:23" ht="15" thickBot="1" x14ac:dyDescent="0.35">
      <c r="A193" s="54"/>
      <c r="B193" s="39">
        <v>90</v>
      </c>
      <c r="C193" s="15">
        <v>1.5071829999999999</v>
      </c>
      <c r="D193" s="47">
        <v>1.701557</v>
      </c>
      <c r="E193" s="9">
        <v>5.3399999999999997E-4</v>
      </c>
      <c r="F193" s="1">
        <v>-1.2899999999999999E-3</v>
      </c>
      <c r="G193" s="1">
        <v>1.9999999999999999E-6</v>
      </c>
      <c r="H193" s="1">
        <v>1</v>
      </c>
      <c r="I193" s="12">
        <v>19</v>
      </c>
      <c r="J193" s="18" t="str">
        <f t="shared" si="9"/>
        <v>TAK</v>
      </c>
      <c r="K193" s="9" t="s">
        <v>23</v>
      </c>
      <c r="L193" s="9" t="s">
        <v>23</v>
      </c>
      <c r="M193" s="9" t="s">
        <v>23</v>
      </c>
      <c r="N193" s="1">
        <v>1</v>
      </c>
      <c r="O193" s="12">
        <v>28</v>
      </c>
      <c r="P193" s="18" t="e">
        <f t="shared" si="10"/>
        <v>#VALUE!</v>
      </c>
      <c r="Q193" s="15">
        <v>1.7484999999999999</v>
      </c>
      <c r="R193" s="1">
        <v>-0.87096499999999999</v>
      </c>
      <c r="S193" s="1">
        <v>0.29865399999999998</v>
      </c>
      <c r="T193" s="1">
        <v>1</v>
      </c>
      <c r="U193" s="1">
        <v>23</v>
      </c>
      <c r="V193" s="12">
        <v>23</v>
      </c>
      <c r="W193" s="18" t="str">
        <f t="shared" si="11"/>
        <v>NIE</v>
      </c>
    </row>
    <row r="194" spans="1:23" ht="15" thickBot="1" x14ac:dyDescent="0.35">
      <c r="A194" s="54"/>
      <c r="B194" s="39">
        <v>91</v>
      </c>
      <c r="C194" s="15">
        <v>1.2077150000000001</v>
      </c>
      <c r="D194" s="47">
        <v>0.29781299999999999</v>
      </c>
      <c r="E194" s="9">
        <v>3.9899999999999999E-4</v>
      </c>
      <c r="F194" s="1">
        <v>-9.6199999999999996E-4</v>
      </c>
      <c r="G194" s="1">
        <v>9.9999999999999995E-7</v>
      </c>
      <c r="H194" s="1">
        <v>1</v>
      </c>
      <c r="I194" s="12">
        <v>24</v>
      </c>
      <c r="J194" s="18" t="str">
        <f t="shared" si="9"/>
        <v>TAK</v>
      </c>
      <c r="K194" s="9" t="s">
        <v>23</v>
      </c>
      <c r="L194" s="9" t="s">
        <v>23</v>
      </c>
      <c r="M194" s="9" t="s">
        <v>23</v>
      </c>
      <c r="N194" s="1">
        <v>1</v>
      </c>
      <c r="O194" s="12">
        <v>31</v>
      </c>
      <c r="P194" s="18" t="e">
        <f t="shared" si="10"/>
        <v>#VALUE!</v>
      </c>
      <c r="Q194" s="15">
        <v>1.0709759999999999</v>
      </c>
      <c r="R194" s="1">
        <v>-0.53262900000000002</v>
      </c>
      <c r="S194" s="1">
        <v>0.87736899999999995</v>
      </c>
      <c r="T194" s="1">
        <v>1</v>
      </c>
      <c r="U194" s="1">
        <v>20</v>
      </c>
      <c r="V194" s="12">
        <v>20</v>
      </c>
      <c r="W194" s="18" t="str">
        <f t="shared" si="11"/>
        <v>NIE</v>
      </c>
    </row>
    <row r="195" spans="1:23" ht="15" thickBot="1" x14ac:dyDescent="0.35">
      <c r="A195" s="54"/>
      <c r="B195" s="39">
        <v>92</v>
      </c>
      <c r="C195" s="15">
        <v>0.24090900000000001</v>
      </c>
      <c r="D195" s="47">
        <v>1.2493570000000001</v>
      </c>
      <c r="E195" s="9">
        <v>-3.5599999999999998E-4</v>
      </c>
      <c r="F195" s="1">
        <v>8.5999999999999998E-4</v>
      </c>
      <c r="G195" s="1">
        <v>9.9999999999999995E-7</v>
      </c>
      <c r="H195" s="1">
        <v>1</v>
      </c>
      <c r="I195" s="12">
        <v>14</v>
      </c>
      <c r="J195" s="18" t="str">
        <f t="shared" si="9"/>
        <v>TAK</v>
      </c>
      <c r="K195" s="9">
        <v>-7.7999999999999999E-5</v>
      </c>
      <c r="L195" s="9">
        <v>2.9100000000000003E-4</v>
      </c>
      <c r="M195" s="9">
        <v>0</v>
      </c>
      <c r="N195" s="1">
        <v>1</v>
      </c>
      <c r="O195" s="12">
        <v>25</v>
      </c>
      <c r="P195" s="18" t="str">
        <f t="shared" si="10"/>
        <v>TAK</v>
      </c>
      <c r="Q195" s="15">
        <v>3.8400000000000001E-4</v>
      </c>
      <c r="R195" s="1">
        <v>2.2520000000000001E-3</v>
      </c>
      <c r="S195" s="1">
        <v>6.0000000000000002E-6</v>
      </c>
      <c r="T195" s="1">
        <v>1</v>
      </c>
      <c r="U195" s="1">
        <v>22</v>
      </c>
      <c r="V195" s="12">
        <v>22</v>
      </c>
      <c r="W195" s="18" t="str">
        <f t="shared" si="11"/>
        <v>TAK</v>
      </c>
    </row>
    <row r="196" spans="1:23" ht="15" thickBot="1" x14ac:dyDescent="0.35">
      <c r="A196" s="54"/>
      <c r="B196" s="39">
        <v>93</v>
      </c>
      <c r="C196" s="15">
        <v>0.75452900000000001</v>
      </c>
      <c r="D196" s="47">
        <v>4.8385999999999998E-2</v>
      </c>
      <c r="E196" s="9">
        <v>4.9299999999999995E-4</v>
      </c>
      <c r="F196" s="1">
        <v>-1.189E-3</v>
      </c>
      <c r="G196" s="1">
        <v>9.9999999999999995E-7</v>
      </c>
      <c r="H196" s="1">
        <v>1</v>
      </c>
      <c r="I196" s="12">
        <v>12</v>
      </c>
      <c r="J196" s="18" t="str">
        <f t="shared" ref="J196:J260" si="12">IF(ABS(G196) &lt; 0.01,"TAK","NIE")</f>
        <v>TAK</v>
      </c>
      <c r="K196" s="9">
        <v>-6.4999999999999994E-5</v>
      </c>
      <c r="L196" s="9">
        <v>2.2699999999999999E-4</v>
      </c>
      <c r="M196" s="9">
        <v>0</v>
      </c>
      <c r="N196" s="1">
        <v>1</v>
      </c>
      <c r="O196" s="12">
        <v>28</v>
      </c>
      <c r="P196" s="18" t="str">
        <f t="shared" ref="P196:P260" si="13">IF(ABS(M196) &lt; 0.01,"TAK","NIE")</f>
        <v>TAK</v>
      </c>
      <c r="Q196" s="15">
        <v>1.069652</v>
      </c>
      <c r="R196" s="1">
        <v>-0.533026</v>
      </c>
      <c r="S196" s="1">
        <v>0.877363</v>
      </c>
      <c r="T196" s="1">
        <v>1</v>
      </c>
      <c r="U196" s="1">
        <v>19</v>
      </c>
      <c r="V196" s="12">
        <v>19</v>
      </c>
      <c r="W196" s="18" t="str">
        <f t="shared" si="11"/>
        <v>NIE</v>
      </c>
    </row>
    <row r="197" spans="1:23" ht="15" thickBot="1" x14ac:dyDescent="0.35">
      <c r="A197" s="54"/>
      <c r="B197" s="39">
        <v>94</v>
      </c>
      <c r="C197" s="15">
        <v>1.5632649999999999</v>
      </c>
      <c r="D197" s="47">
        <v>0.984873</v>
      </c>
      <c r="E197" s="9">
        <v>1.7474940000000001</v>
      </c>
      <c r="F197" s="1">
        <v>-0.87283999999999995</v>
      </c>
      <c r="G197" s="1">
        <v>0.29863899999999999</v>
      </c>
      <c r="H197" s="1">
        <v>1</v>
      </c>
      <c r="I197" s="12">
        <v>214631</v>
      </c>
      <c r="J197" s="18" t="str">
        <f t="shared" si="12"/>
        <v>NIE</v>
      </c>
      <c r="K197" s="9" t="s">
        <v>23</v>
      </c>
      <c r="L197" s="9" t="e">
        <v>#NAME?</v>
      </c>
      <c r="M197" s="9" t="s">
        <v>23</v>
      </c>
      <c r="N197" s="1">
        <v>1</v>
      </c>
      <c r="O197" s="12">
        <v>37</v>
      </c>
      <c r="P197" s="18" t="e">
        <f t="shared" si="13"/>
        <v>#VALUE!</v>
      </c>
      <c r="Q197" s="15">
        <v>1.747463</v>
      </c>
      <c r="R197" s="1">
        <v>-0.87136800000000003</v>
      </c>
      <c r="S197" s="1">
        <v>0.29864400000000002</v>
      </c>
      <c r="T197" s="1">
        <v>1</v>
      </c>
      <c r="U197" s="1">
        <v>23</v>
      </c>
      <c r="V197" s="12">
        <v>23</v>
      </c>
      <c r="W197" s="18" t="str">
        <f t="shared" ref="W197:W261" si="14">IF(ABS(S197) &lt; 0.01,"TAK","NIE")</f>
        <v>NIE</v>
      </c>
    </row>
    <row r="198" spans="1:23" ht="15" thickBot="1" x14ac:dyDescent="0.35">
      <c r="A198" s="54"/>
      <c r="B198" s="39">
        <v>95</v>
      </c>
      <c r="C198" s="15">
        <v>0.59534799999999999</v>
      </c>
      <c r="D198" s="47">
        <v>0.82362599999999997</v>
      </c>
      <c r="E198" s="9">
        <v>-3.6200000000000002E-4</v>
      </c>
      <c r="F198" s="1">
        <v>8.7500000000000002E-4</v>
      </c>
      <c r="G198" s="1">
        <v>9.9999999999999995E-7</v>
      </c>
      <c r="H198" s="1">
        <v>1</v>
      </c>
      <c r="I198" s="12">
        <v>12</v>
      </c>
      <c r="J198" s="18" t="str">
        <f t="shared" si="12"/>
        <v>TAK</v>
      </c>
      <c r="K198" s="9">
        <v>-4.3000000000000002E-5</v>
      </c>
      <c r="L198" s="9">
        <v>2.8800000000000001E-4</v>
      </c>
      <c r="M198" s="9">
        <v>0</v>
      </c>
      <c r="N198" s="1">
        <v>1</v>
      </c>
      <c r="O198" s="12">
        <v>22</v>
      </c>
      <c r="P198" s="18" t="str">
        <f t="shared" si="13"/>
        <v>TAK</v>
      </c>
      <c r="Q198" s="15">
        <v>1.7475000000000001</v>
      </c>
      <c r="R198" s="1">
        <v>-0.87108300000000005</v>
      </c>
      <c r="S198" s="1">
        <v>0.29864600000000002</v>
      </c>
      <c r="T198" s="1">
        <v>1</v>
      </c>
      <c r="U198" s="1">
        <v>21</v>
      </c>
      <c r="V198" s="12">
        <v>21</v>
      </c>
      <c r="W198" s="18" t="str">
        <f t="shared" si="14"/>
        <v>NIE</v>
      </c>
    </row>
    <row r="199" spans="1:23" ht="15" thickBot="1" x14ac:dyDescent="0.35">
      <c r="A199" s="54"/>
      <c r="B199" s="39">
        <v>96</v>
      </c>
      <c r="C199" s="15">
        <v>0.57154300000000002</v>
      </c>
      <c r="D199" s="47">
        <v>0.94587200000000005</v>
      </c>
      <c r="E199" s="9">
        <v>-4.8500000000000003E-4</v>
      </c>
      <c r="F199" s="1">
        <v>1.17E-3</v>
      </c>
      <c r="G199" s="1">
        <v>9.9999999999999995E-7</v>
      </c>
      <c r="H199" s="1">
        <v>1</v>
      </c>
      <c r="I199" s="12">
        <v>12</v>
      </c>
      <c r="J199" s="18" t="str">
        <f t="shared" si="12"/>
        <v>TAK</v>
      </c>
      <c r="K199" s="9">
        <v>-7.7999999999999999E-5</v>
      </c>
      <c r="L199" s="9">
        <v>3.3700000000000001E-4</v>
      </c>
      <c r="M199" s="9">
        <v>0</v>
      </c>
      <c r="N199" s="1">
        <v>1</v>
      </c>
      <c r="O199" s="12">
        <v>22</v>
      </c>
      <c r="P199" s="18" t="str">
        <f t="shared" si="13"/>
        <v>TAK</v>
      </c>
      <c r="Q199" s="15">
        <v>1.7501119999999999</v>
      </c>
      <c r="R199" s="1">
        <v>-0.87504700000000002</v>
      </c>
      <c r="S199" s="1">
        <v>0.29867700000000003</v>
      </c>
      <c r="T199" s="1">
        <v>1</v>
      </c>
      <c r="U199" s="1">
        <v>41</v>
      </c>
      <c r="V199" s="12">
        <v>41</v>
      </c>
      <c r="W199" s="18" t="str">
        <f t="shared" si="14"/>
        <v>NIE</v>
      </c>
    </row>
    <row r="200" spans="1:23" ht="15" thickBot="1" x14ac:dyDescent="0.35">
      <c r="A200" s="54"/>
      <c r="B200" s="39">
        <v>97</v>
      </c>
      <c r="C200" s="15">
        <v>1.627729</v>
      </c>
      <c r="D200" s="47">
        <v>1.711768</v>
      </c>
      <c r="E200" s="9">
        <v>1.747476</v>
      </c>
      <c r="F200" s="1">
        <v>-0.87275999999999998</v>
      </c>
      <c r="G200" s="1">
        <v>0.29863899999999999</v>
      </c>
      <c r="H200" s="1">
        <v>1</v>
      </c>
      <c r="I200" s="12">
        <v>190390</v>
      </c>
      <c r="J200" s="18" t="str">
        <f t="shared" si="12"/>
        <v>NIE</v>
      </c>
      <c r="K200" s="9" t="s">
        <v>23</v>
      </c>
      <c r="L200" s="9" t="e">
        <v>#NAME?</v>
      </c>
      <c r="M200" s="9" t="s">
        <v>23</v>
      </c>
      <c r="N200" s="1">
        <v>1</v>
      </c>
      <c r="O200" s="12">
        <v>28</v>
      </c>
      <c r="P200" s="18" t="e">
        <f t="shared" si="13"/>
        <v>#VALUE!</v>
      </c>
      <c r="Q200" s="15">
        <v>1.747479</v>
      </c>
      <c r="R200" s="1">
        <v>-0.87120500000000001</v>
      </c>
      <c r="S200" s="1">
        <v>0.29864499999999999</v>
      </c>
      <c r="T200" s="1">
        <v>1</v>
      </c>
      <c r="U200" s="1">
        <v>24</v>
      </c>
      <c r="V200" s="12">
        <v>24</v>
      </c>
      <c r="W200" s="18" t="str">
        <f t="shared" si="14"/>
        <v>NIE</v>
      </c>
    </row>
    <row r="201" spans="1:23" ht="15" thickBot="1" x14ac:dyDescent="0.35">
      <c r="A201" s="54"/>
      <c r="B201" s="39">
        <v>98</v>
      </c>
      <c r="C201" s="15">
        <v>0.57618000000000003</v>
      </c>
      <c r="D201" s="47">
        <v>0.13591700000000001</v>
      </c>
      <c r="E201" s="9">
        <v>5.2999999999999998E-4</v>
      </c>
      <c r="F201" s="1">
        <v>-1.2800000000000001E-3</v>
      </c>
      <c r="G201" s="1">
        <v>1.9999999999999999E-6</v>
      </c>
      <c r="H201" s="1">
        <v>1</v>
      </c>
      <c r="I201" s="12">
        <v>10</v>
      </c>
      <c r="J201" s="18" t="str">
        <f t="shared" si="12"/>
        <v>TAK</v>
      </c>
      <c r="K201" s="9">
        <v>-1.5999999999999999E-5</v>
      </c>
      <c r="L201" s="9">
        <v>-7.6199999999999998E-4</v>
      </c>
      <c r="M201" s="9">
        <v>9.9999999999999995E-7</v>
      </c>
      <c r="N201" s="1">
        <v>1</v>
      </c>
      <c r="O201" s="12">
        <v>19</v>
      </c>
      <c r="P201" s="18" t="str">
        <f t="shared" si="13"/>
        <v>TAK</v>
      </c>
      <c r="Q201" s="15">
        <v>1.750162</v>
      </c>
      <c r="R201" s="1">
        <v>-0.87503900000000001</v>
      </c>
      <c r="S201" s="1">
        <v>0.298678</v>
      </c>
      <c r="T201" s="1">
        <v>1</v>
      </c>
      <c r="U201" s="1">
        <v>32</v>
      </c>
      <c r="V201" s="12">
        <v>32</v>
      </c>
      <c r="W201" s="18" t="str">
        <f t="shared" si="14"/>
        <v>NIE</v>
      </c>
    </row>
    <row r="202" spans="1:23" ht="15" thickBot="1" x14ac:dyDescent="0.35">
      <c r="A202" s="54"/>
      <c r="B202" s="39">
        <v>99</v>
      </c>
      <c r="C202" s="15">
        <v>0.60755999999999999</v>
      </c>
      <c r="D202" s="47">
        <v>0.60196000000000005</v>
      </c>
      <c r="E202" s="9">
        <v>-4.6000000000000001E-4</v>
      </c>
      <c r="F202" s="1">
        <v>1.1100000000000001E-3</v>
      </c>
      <c r="G202" s="1">
        <v>9.9999999999999995E-7</v>
      </c>
      <c r="H202" s="1">
        <v>1</v>
      </c>
      <c r="I202" s="12">
        <v>10</v>
      </c>
      <c r="J202" s="18" t="str">
        <f t="shared" si="12"/>
        <v>TAK</v>
      </c>
      <c r="K202" s="9">
        <v>-9.0000000000000002E-6</v>
      </c>
      <c r="L202" s="9">
        <v>2.5500000000000002E-4</v>
      </c>
      <c r="M202" s="9">
        <v>0</v>
      </c>
      <c r="N202" s="1">
        <v>1</v>
      </c>
      <c r="O202" s="12">
        <v>22</v>
      </c>
      <c r="P202" s="18" t="str">
        <f t="shared" si="13"/>
        <v>TAK</v>
      </c>
      <c r="Q202" s="15">
        <v>1.0713839999999999</v>
      </c>
      <c r="R202" s="1">
        <v>-0.53281999999999996</v>
      </c>
      <c r="S202" s="1">
        <v>0.87736800000000004</v>
      </c>
      <c r="T202" s="1">
        <v>1</v>
      </c>
      <c r="U202" s="1">
        <v>20</v>
      </c>
      <c r="V202" s="12">
        <v>20</v>
      </c>
      <c r="W202" s="18" t="str">
        <f t="shared" si="14"/>
        <v>NIE</v>
      </c>
    </row>
    <row r="203" spans="1:23" ht="15" thickBot="1" x14ac:dyDescent="0.35">
      <c r="A203" s="56"/>
      <c r="B203" s="40">
        <v>100</v>
      </c>
      <c r="C203" s="16">
        <v>0.91948799999999997</v>
      </c>
      <c r="D203" s="49">
        <v>1.5027889999999999</v>
      </c>
      <c r="E203" s="10">
        <v>-5.3899999999999998E-4</v>
      </c>
      <c r="F203" s="3">
        <v>1.302E-3</v>
      </c>
      <c r="G203" s="3">
        <v>1.9999999999999999E-6</v>
      </c>
      <c r="H203" s="3">
        <v>1</v>
      </c>
      <c r="I203" s="13">
        <v>12</v>
      </c>
      <c r="J203" s="18" t="str">
        <f t="shared" si="12"/>
        <v>TAK</v>
      </c>
      <c r="K203" s="10">
        <v>-3.4E-5</v>
      </c>
      <c r="L203" s="10">
        <v>-2.5900000000000001E-4</v>
      </c>
      <c r="M203" s="10">
        <v>0</v>
      </c>
      <c r="N203" s="3">
        <v>1</v>
      </c>
      <c r="O203" s="13">
        <v>28</v>
      </c>
      <c r="P203" s="18" t="str">
        <f t="shared" si="13"/>
        <v>TAK</v>
      </c>
      <c r="Q203" s="16">
        <v>1.070362</v>
      </c>
      <c r="R203" s="3">
        <v>-0.532555</v>
      </c>
      <c r="S203" s="3">
        <v>0.87736800000000004</v>
      </c>
      <c r="T203" s="3">
        <v>1</v>
      </c>
      <c r="U203" s="3">
        <v>23</v>
      </c>
      <c r="V203" s="13">
        <v>23</v>
      </c>
      <c r="W203" s="18" t="str">
        <f t="shared" si="14"/>
        <v>NIE</v>
      </c>
    </row>
    <row r="204" spans="1:23" ht="15" thickBot="1" x14ac:dyDescent="0.35">
      <c r="A204" s="81"/>
      <c r="B204" s="82"/>
      <c r="C204" s="83">
        <f>AVERAGEIF($J104:$J203, "TAK", C104:C203)</f>
        <v>0.8980508522727273</v>
      </c>
      <c r="D204" s="83">
        <f t="shared" ref="D204" si="15">AVERAGEIF($J104:$J203, "TAK", D104:D203)</f>
        <v>1.1844803863636364</v>
      </c>
      <c r="E204" s="83">
        <f t="shared" ref="E204" si="16">AVERAGEIF($J104:$J203, "TAK", E104:E203)</f>
        <v>-9.7215909090909088E-5</v>
      </c>
      <c r="F204" s="83">
        <f t="shared" ref="F204" si="17">AVERAGEIF($J104:$J203, "TAK", F104:F203)</f>
        <v>2.3482954545454537E-4</v>
      </c>
      <c r="G204" s="83">
        <f t="shared" ref="G204" si="18">AVERAGEIF($J104:$J203, "TAK", G104:G203)</f>
        <v>1.2159090909090887E-6</v>
      </c>
      <c r="H204" s="83">
        <f t="shared" ref="H204" si="19">AVERAGEIF($J104:$J203, "TAK", H104:H203)</f>
        <v>1</v>
      </c>
      <c r="I204" s="83">
        <f t="shared" ref="I204" si="20">AVERAGEIF($J104:$J203, "TAK", I104:I203)</f>
        <v>12.863636363636363</v>
      </c>
      <c r="J204" s="83">
        <f>COUNTIF(J104:J203, "TAK")</f>
        <v>88</v>
      </c>
      <c r="K204" s="83">
        <f>AVERAGEIF($P104:$P203, "TAK", K104:K203)</f>
        <v>-7.6486486486486487E-6</v>
      </c>
      <c r="L204" s="83">
        <f t="shared" ref="L204" si="21">AVERAGEIF($P104:$P203, "TAK", L104:L203)</f>
        <v>8.951351351351354E-5</v>
      </c>
      <c r="M204" s="83">
        <f t="shared" ref="M204" si="22">AVERAGEIF($P104:$P203, "TAK", M104:M203)</f>
        <v>6.756756756756756E-8</v>
      </c>
      <c r="N204" s="83">
        <f t="shared" ref="N204" si="23">AVERAGEIF($P104:$P203, "TAK", N104:N203)</f>
        <v>1</v>
      </c>
      <c r="O204" s="83">
        <f t="shared" ref="O204" si="24">AVERAGEIF($P104:$P203, "TAK", O104:O203)</f>
        <v>25.216216216216218</v>
      </c>
      <c r="P204" s="83">
        <f>COUNTIF(P104:P203, "TAK")</f>
        <v>74</v>
      </c>
      <c r="Q204" s="83">
        <f>AVERAGEIF($W104:$W203, "TAK", Q104:Q203)</f>
        <v>3.2860869565217387E-4</v>
      </c>
      <c r="R204" s="83">
        <f t="shared" ref="R204" si="25">AVERAGEIF($W104:$W203, "TAK", R104:R203)</f>
        <v>2.5734347826086952E-3</v>
      </c>
      <c r="S204" s="83">
        <f t="shared" ref="S204" si="26">AVERAGEIF($W104:$W203, "TAK", S104:S203)</f>
        <v>8.2173913043478291E-6</v>
      </c>
      <c r="T204" s="83">
        <f t="shared" ref="T204" si="27">AVERAGEIF($W104:$W203, "TAK", T104:T203)</f>
        <v>1</v>
      </c>
      <c r="U204" s="83">
        <f t="shared" ref="U204" si="28">AVERAGEIF($W104:$W203, "TAK", U104:U203)</f>
        <v>21.478260869565219</v>
      </c>
      <c r="V204" s="83">
        <f t="shared" ref="V204" si="29">AVERAGEIF($W104:$W203, "TAK", V104:V203)</f>
        <v>21.478260869565219</v>
      </c>
      <c r="W204" s="83">
        <f>COUNTIF(W104:W203, "TAK")</f>
        <v>23</v>
      </c>
    </row>
    <row r="205" spans="1:23" ht="15" thickBot="1" x14ac:dyDescent="0.35">
      <c r="A205" s="57" t="s">
        <v>13</v>
      </c>
      <c r="B205" s="45">
        <v>1</v>
      </c>
      <c r="C205" s="14">
        <v>0.40123999999999999</v>
      </c>
      <c r="D205" s="50">
        <v>0.58294500000000005</v>
      </c>
      <c r="E205" s="8">
        <v>-1.9319999999999999E-3</v>
      </c>
      <c r="F205" s="4">
        <v>4.6639999999999997E-3</v>
      </c>
      <c r="G205" s="4">
        <v>2.0000000000000002E-5</v>
      </c>
      <c r="H205" s="4">
        <v>376</v>
      </c>
      <c r="I205" s="11">
        <v>25</v>
      </c>
      <c r="J205" s="18" t="str">
        <f t="shared" si="12"/>
        <v>TAK</v>
      </c>
      <c r="K205" s="8">
        <v>-1.3200000000000001E-4</v>
      </c>
      <c r="L205" s="8">
        <v>6.1600000000000001E-4</v>
      </c>
      <c r="M205" s="8">
        <v>0</v>
      </c>
      <c r="N205" s="4">
        <v>211</v>
      </c>
      <c r="O205" s="11">
        <v>40</v>
      </c>
      <c r="P205" s="18" t="str">
        <f t="shared" si="13"/>
        <v>TAK</v>
      </c>
      <c r="Q205" s="14">
        <v>3.797E-3</v>
      </c>
      <c r="R205" s="4">
        <v>7.6620000000000004E-3</v>
      </c>
      <c r="S205" s="4">
        <v>1.17E-4</v>
      </c>
      <c r="T205" s="4">
        <v>631</v>
      </c>
      <c r="U205" s="4">
        <v>42</v>
      </c>
      <c r="V205" s="11">
        <v>42</v>
      </c>
      <c r="W205" s="18" t="str">
        <f t="shared" si="14"/>
        <v>TAK</v>
      </c>
    </row>
    <row r="206" spans="1:23" ht="15" thickBot="1" x14ac:dyDescent="0.35">
      <c r="A206" s="54"/>
      <c r="B206" s="39">
        <v>2</v>
      </c>
      <c r="C206" s="15">
        <v>1.052864</v>
      </c>
      <c r="D206" s="47">
        <v>0.51497899999999996</v>
      </c>
      <c r="E206" s="9">
        <v>1.913E-3</v>
      </c>
      <c r="F206" s="1">
        <v>-4.6160000000000003E-3</v>
      </c>
      <c r="G206" s="1">
        <v>2.0000000000000002E-5</v>
      </c>
      <c r="H206" s="1">
        <v>406</v>
      </c>
      <c r="I206" s="12">
        <v>27</v>
      </c>
      <c r="J206" s="18" t="str">
        <f t="shared" si="12"/>
        <v>TAK</v>
      </c>
      <c r="K206" s="9">
        <v>-1.0610000000000001E-3</v>
      </c>
      <c r="L206" s="9">
        <v>2.3189999999999999E-3</v>
      </c>
      <c r="M206" s="9">
        <v>5.0000000000000004E-6</v>
      </c>
      <c r="N206" s="1">
        <v>346</v>
      </c>
      <c r="O206" s="12">
        <v>67</v>
      </c>
      <c r="P206" s="18" t="str">
        <f t="shared" si="13"/>
        <v>TAK</v>
      </c>
      <c r="Q206" s="15">
        <v>1.0704009999999999</v>
      </c>
      <c r="R206" s="1">
        <v>-0.52684900000000001</v>
      </c>
      <c r="S206" s="1">
        <v>0.87743099999999996</v>
      </c>
      <c r="T206" s="1">
        <v>691</v>
      </c>
      <c r="U206" s="1">
        <v>46</v>
      </c>
      <c r="V206" s="12">
        <v>46</v>
      </c>
      <c r="W206" s="18" t="str">
        <f t="shared" si="14"/>
        <v>NIE</v>
      </c>
    </row>
    <row r="207" spans="1:23" ht="15" thickBot="1" x14ac:dyDescent="0.35">
      <c r="A207" s="54"/>
      <c r="B207" s="39">
        <v>3</v>
      </c>
      <c r="C207" s="15">
        <v>0.94340800000000002</v>
      </c>
      <c r="D207" s="47">
        <v>1.350949</v>
      </c>
      <c r="E207" s="9">
        <v>-1.73E-3</v>
      </c>
      <c r="F207" s="1">
        <v>4.176E-3</v>
      </c>
      <c r="G207" s="1">
        <v>1.5999999999999999E-5</v>
      </c>
      <c r="H207" s="1">
        <v>436</v>
      </c>
      <c r="I207" s="12">
        <v>29</v>
      </c>
      <c r="J207" s="18" t="str">
        <f t="shared" si="12"/>
        <v>TAK</v>
      </c>
      <c r="K207" s="9">
        <v>-5.5000000000000002E-5</v>
      </c>
      <c r="L207" s="9">
        <v>9.2900000000000003E-4</v>
      </c>
      <c r="M207" s="9">
        <v>9.9999999999999995E-7</v>
      </c>
      <c r="N207" s="1">
        <v>211</v>
      </c>
      <c r="O207" s="12">
        <v>40</v>
      </c>
      <c r="P207" s="18" t="str">
        <f t="shared" si="13"/>
        <v>TAK</v>
      </c>
      <c r="Q207" s="15">
        <v>1.0699799999999999</v>
      </c>
      <c r="R207" s="1">
        <v>-0.526339</v>
      </c>
      <c r="S207" s="1">
        <v>0.87743599999999999</v>
      </c>
      <c r="T207" s="1">
        <v>766</v>
      </c>
      <c r="U207" s="1">
        <v>51</v>
      </c>
      <c r="V207" s="12">
        <v>51</v>
      </c>
      <c r="W207" s="18" t="str">
        <f t="shared" si="14"/>
        <v>NIE</v>
      </c>
    </row>
    <row r="208" spans="1:23" ht="15" thickBot="1" x14ac:dyDescent="0.35">
      <c r="A208" s="54"/>
      <c r="B208" s="39">
        <v>4</v>
      </c>
      <c r="C208" s="15">
        <v>1.4706300000000001</v>
      </c>
      <c r="D208" s="47">
        <v>0.76669799999999999</v>
      </c>
      <c r="E208" s="9">
        <v>1.7471449999999999</v>
      </c>
      <c r="F208" s="1">
        <v>-0.86960899999999997</v>
      </c>
      <c r="G208" s="1">
        <v>0.298655</v>
      </c>
      <c r="H208" s="1">
        <v>436</v>
      </c>
      <c r="I208" s="12">
        <v>29</v>
      </c>
      <c r="J208" s="18" t="str">
        <f t="shared" si="12"/>
        <v>NIE</v>
      </c>
      <c r="K208" s="9">
        <v>1.747177</v>
      </c>
      <c r="L208" s="9">
        <v>-0.87239699999999998</v>
      </c>
      <c r="M208" s="9">
        <v>0.29864099999999999</v>
      </c>
      <c r="N208" s="1">
        <v>181</v>
      </c>
      <c r="O208" s="12">
        <v>34</v>
      </c>
      <c r="P208" s="18" t="str">
        <f t="shared" si="13"/>
        <v>NIE</v>
      </c>
      <c r="Q208" s="15">
        <v>1.07077</v>
      </c>
      <c r="R208" s="1">
        <v>-0.52659100000000003</v>
      </c>
      <c r="S208" s="1">
        <v>0.87743899999999997</v>
      </c>
      <c r="T208" s="1">
        <v>736</v>
      </c>
      <c r="U208" s="1">
        <v>49</v>
      </c>
      <c r="V208" s="12">
        <v>49</v>
      </c>
      <c r="W208" s="18" t="str">
        <f t="shared" si="14"/>
        <v>NIE</v>
      </c>
    </row>
    <row r="209" spans="1:23" ht="15" thickBot="1" x14ac:dyDescent="0.35">
      <c r="A209" s="54"/>
      <c r="B209" s="39">
        <v>5</v>
      </c>
      <c r="C209" s="15">
        <v>1.8974960000000001</v>
      </c>
      <c r="D209" s="47">
        <v>1.4370350000000001</v>
      </c>
      <c r="E209" s="9">
        <v>1.747212</v>
      </c>
      <c r="F209" s="1">
        <v>-0.87029400000000001</v>
      </c>
      <c r="G209" s="1">
        <v>0.29865000000000003</v>
      </c>
      <c r="H209" s="1">
        <v>481</v>
      </c>
      <c r="I209" s="12">
        <v>32</v>
      </c>
      <c r="J209" s="18" t="str">
        <f t="shared" si="12"/>
        <v>NIE</v>
      </c>
      <c r="K209" s="9" t="s">
        <v>23</v>
      </c>
      <c r="L209" s="9" t="s">
        <v>23</v>
      </c>
      <c r="M209" s="9" t="s">
        <v>23</v>
      </c>
      <c r="N209" s="1">
        <v>196</v>
      </c>
      <c r="O209" s="12">
        <v>37</v>
      </c>
      <c r="P209" s="18" t="e">
        <f t="shared" si="13"/>
        <v>#VALUE!</v>
      </c>
      <c r="Q209" s="15">
        <v>1.7484219999999999</v>
      </c>
      <c r="R209" s="1">
        <v>-0.86502999999999997</v>
      </c>
      <c r="S209" s="1">
        <v>0.29872700000000002</v>
      </c>
      <c r="T209" s="1">
        <v>796</v>
      </c>
      <c r="U209" s="1">
        <v>53</v>
      </c>
      <c r="V209" s="12">
        <v>53</v>
      </c>
      <c r="W209" s="18" t="str">
        <f t="shared" si="14"/>
        <v>NIE</v>
      </c>
    </row>
    <row r="210" spans="1:23" ht="15" thickBot="1" x14ac:dyDescent="0.35">
      <c r="A210" s="54"/>
      <c r="B210" s="39">
        <v>6</v>
      </c>
      <c r="C210" s="15">
        <v>1.2925899999999999</v>
      </c>
      <c r="D210" s="47">
        <v>0.13275100000000001</v>
      </c>
      <c r="E210" s="9">
        <v>1.7471779999999999</v>
      </c>
      <c r="F210" s="1">
        <v>-0.86994199999999999</v>
      </c>
      <c r="G210" s="1">
        <v>0.298653</v>
      </c>
      <c r="H210" s="1">
        <v>421</v>
      </c>
      <c r="I210" s="12">
        <v>28</v>
      </c>
      <c r="J210" s="18" t="str">
        <f t="shared" si="12"/>
        <v>NIE</v>
      </c>
      <c r="K210" s="9" t="s">
        <v>23</v>
      </c>
      <c r="L210" s="9" t="s">
        <v>23</v>
      </c>
      <c r="M210" s="9" t="s">
        <v>23</v>
      </c>
      <c r="N210" s="1">
        <v>166</v>
      </c>
      <c r="O210" s="12">
        <v>31</v>
      </c>
      <c r="P210" s="18" t="e">
        <f t="shared" si="13"/>
        <v>#VALUE!</v>
      </c>
      <c r="Q210" s="15">
        <v>1.0731280000000001</v>
      </c>
      <c r="R210" s="1">
        <v>-0.52705800000000003</v>
      </c>
      <c r="S210" s="1">
        <v>0.87743700000000002</v>
      </c>
      <c r="T210" s="1">
        <v>631</v>
      </c>
      <c r="U210" s="1">
        <v>42</v>
      </c>
      <c r="V210" s="12">
        <v>42</v>
      </c>
      <c r="W210" s="18" t="str">
        <f t="shared" si="14"/>
        <v>NIE</v>
      </c>
    </row>
    <row r="211" spans="1:23" ht="15" thickBot="1" x14ac:dyDescent="0.35">
      <c r="A211" s="54"/>
      <c r="B211" s="39">
        <v>7</v>
      </c>
      <c r="C211" s="15">
        <v>1.1596709999999999</v>
      </c>
      <c r="D211" s="47">
        <v>1.0987439999999999</v>
      </c>
      <c r="E211" s="9">
        <v>2.006E-3</v>
      </c>
      <c r="F211" s="1">
        <v>-4.6519999999999999E-3</v>
      </c>
      <c r="G211" s="1">
        <v>2.0000000000000002E-5</v>
      </c>
      <c r="H211" s="1">
        <v>301</v>
      </c>
      <c r="I211" s="12">
        <v>20</v>
      </c>
      <c r="J211" s="18" t="str">
        <f t="shared" si="12"/>
        <v>TAK</v>
      </c>
      <c r="K211" s="9">
        <v>9.59E-4</v>
      </c>
      <c r="L211" s="9">
        <v>-1.258E-3</v>
      </c>
      <c r="M211" s="9">
        <v>1.9999999999999999E-6</v>
      </c>
      <c r="N211" s="1">
        <v>256</v>
      </c>
      <c r="O211" s="12">
        <v>49</v>
      </c>
      <c r="P211" s="18" t="str">
        <f t="shared" si="13"/>
        <v>TAK</v>
      </c>
      <c r="Q211" s="15">
        <v>1.0710170000000001</v>
      </c>
      <c r="R211" s="1">
        <v>-0.52666000000000002</v>
      </c>
      <c r="S211" s="1">
        <v>0.87743899999999997</v>
      </c>
      <c r="T211" s="1">
        <v>751</v>
      </c>
      <c r="U211" s="1">
        <v>50</v>
      </c>
      <c r="V211" s="12">
        <v>50</v>
      </c>
      <c r="W211" s="18" t="str">
        <f t="shared" si="14"/>
        <v>NIE</v>
      </c>
    </row>
    <row r="212" spans="1:23" ht="15" thickBot="1" x14ac:dyDescent="0.35">
      <c r="A212" s="54"/>
      <c r="B212" s="39">
        <v>8</v>
      </c>
      <c r="C212" s="15">
        <v>1.052778</v>
      </c>
      <c r="D212" s="47">
        <v>0.283302</v>
      </c>
      <c r="E212" s="9">
        <v>1.895E-3</v>
      </c>
      <c r="F212" s="1">
        <v>-4.5729999999999998E-3</v>
      </c>
      <c r="G212" s="1">
        <v>1.9000000000000001E-5</v>
      </c>
      <c r="H212" s="1">
        <v>451</v>
      </c>
      <c r="I212" s="12">
        <v>30</v>
      </c>
      <c r="J212" s="18" t="str">
        <f t="shared" si="12"/>
        <v>TAK</v>
      </c>
      <c r="K212" s="9" t="s">
        <v>23</v>
      </c>
      <c r="L212" s="9" t="s">
        <v>23</v>
      </c>
      <c r="M212" s="9" t="s">
        <v>23</v>
      </c>
      <c r="N212" s="1">
        <v>226</v>
      </c>
      <c r="O212" s="12">
        <v>43</v>
      </c>
      <c r="P212" s="18" t="e">
        <f t="shared" si="13"/>
        <v>#VALUE!</v>
      </c>
      <c r="Q212" s="15">
        <v>1.0703480000000001</v>
      </c>
      <c r="R212" s="1">
        <v>-0.52627800000000002</v>
      </c>
      <c r="S212" s="1">
        <v>0.87744100000000003</v>
      </c>
      <c r="T212" s="1">
        <v>646</v>
      </c>
      <c r="U212" s="1">
        <v>43</v>
      </c>
      <c r="V212" s="12">
        <v>43</v>
      </c>
      <c r="W212" s="18" t="str">
        <f t="shared" si="14"/>
        <v>NIE</v>
      </c>
    </row>
    <row r="213" spans="1:23" ht="15" thickBot="1" x14ac:dyDescent="0.35">
      <c r="A213" s="54"/>
      <c r="B213" s="39">
        <v>9</v>
      </c>
      <c r="C213" s="15">
        <v>0.218335</v>
      </c>
      <c r="D213" s="47">
        <v>1.5463709999999999</v>
      </c>
      <c r="E213" s="9">
        <v>-1.7910000000000001E-3</v>
      </c>
      <c r="F213" s="1">
        <v>4.3229999999999996E-3</v>
      </c>
      <c r="G213" s="1">
        <v>1.7E-5</v>
      </c>
      <c r="H213" s="1">
        <v>496</v>
      </c>
      <c r="I213" s="12">
        <v>33</v>
      </c>
      <c r="J213" s="18" t="str">
        <f t="shared" si="12"/>
        <v>TAK</v>
      </c>
      <c r="K213" s="9">
        <v>-4.9399999999999997E-4</v>
      </c>
      <c r="L213" s="9">
        <v>1.565E-3</v>
      </c>
      <c r="M213" s="9">
        <v>1.9999999999999999E-6</v>
      </c>
      <c r="N213" s="1">
        <v>211</v>
      </c>
      <c r="O213" s="12">
        <v>40</v>
      </c>
      <c r="P213" s="18" t="str">
        <f t="shared" si="13"/>
        <v>TAK</v>
      </c>
      <c r="Q213" s="15">
        <v>1.075E-3</v>
      </c>
      <c r="R213" s="1">
        <v>8.1899999999999994E-3</v>
      </c>
      <c r="S213" s="1">
        <v>7.7999999999999999E-5</v>
      </c>
      <c r="T213" s="1">
        <v>751</v>
      </c>
      <c r="U213" s="1">
        <v>50</v>
      </c>
      <c r="V213" s="12">
        <v>50</v>
      </c>
      <c r="W213" s="18" t="str">
        <f t="shared" si="14"/>
        <v>TAK</v>
      </c>
    </row>
    <row r="214" spans="1:23" ht="15" thickBot="1" x14ac:dyDescent="0.35">
      <c r="A214" s="54"/>
      <c r="B214" s="39">
        <v>10</v>
      </c>
      <c r="C214" s="15">
        <v>1.935209</v>
      </c>
      <c r="D214" s="47">
        <v>0.13861699999999999</v>
      </c>
      <c r="E214" s="9">
        <v>1.747193</v>
      </c>
      <c r="F214" s="1">
        <v>-0.87009499999999995</v>
      </c>
      <c r="G214" s="1">
        <v>0.298651</v>
      </c>
      <c r="H214" s="1">
        <v>406</v>
      </c>
      <c r="I214" s="12">
        <v>27</v>
      </c>
      <c r="J214" s="18" t="str">
        <f t="shared" si="12"/>
        <v>NIE</v>
      </c>
      <c r="K214" s="9">
        <v>1.747474</v>
      </c>
      <c r="L214" s="9">
        <v>-0.87241199999999997</v>
      </c>
      <c r="M214" s="9">
        <v>0.29864000000000002</v>
      </c>
      <c r="N214" s="1">
        <v>196</v>
      </c>
      <c r="O214" s="12">
        <v>37</v>
      </c>
      <c r="P214" s="18" t="str">
        <f t="shared" si="13"/>
        <v>NIE</v>
      </c>
      <c r="Q214" s="15">
        <v>1.750308</v>
      </c>
      <c r="R214" s="1">
        <v>-0.86530099999999999</v>
      </c>
      <c r="S214" s="1">
        <v>0.29877999999999999</v>
      </c>
      <c r="T214" s="1">
        <v>676</v>
      </c>
      <c r="U214" s="1">
        <v>45</v>
      </c>
      <c r="V214" s="12">
        <v>45</v>
      </c>
      <c r="W214" s="18" t="str">
        <f t="shared" si="14"/>
        <v>NIE</v>
      </c>
    </row>
    <row r="215" spans="1:23" ht="15" thickBot="1" x14ac:dyDescent="0.35">
      <c r="A215" s="54"/>
      <c r="B215" s="39">
        <v>11</v>
      </c>
      <c r="C215" s="15">
        <v>1.8906529999999999</v>
      </c>
      <c r="D215" s="47">
        <v>0.112946</v>
      </c>
      <c r="E215" s="9">
        <v>1.747212</v>
      </c>
      <c r="F215" s="1">
        <v>-0.87028899999999998</v>
      </c>
      <c r="G215" s="1">
        <v>0.29865000000000003</v>
      </c>
      <c r="H215" s="1">
        <v>406</v>
      </c>
      <c r="I215" s="12">
        <v>27</v>
      </c>
      <c r="J215" s="18" t="str">
        <f t="shared" si="12"/>
        <v>NIE</v>
      </c>
      <c r="K215" s="9">
        <v>1.7474700000000001</v>
      </c>
      <c r="L215" s="9">
        <v>-0.87245700000000004</v>
      </c>
      <c r="M215" s="9">
        <v>0.29864000000000002</v>
      </c>
      <c r="N215" s="1">
        <v>196</v>
      </c>
      <c r="O215" s="12">
        <v>37</v>
      </c>
      <c r="P215" s="18" t="str">
        <f t="shared" si="13"/>
        <v>NIE</v>
      </c>
      <c r="Q215" s="15">
        <v>1.7494350000000001</v>
      </c>
      <c r="R215" s="1">
        <v>-0.86529100000000003</v>
      </c>
      <c r="S215" s="1">
        <v>0.29874800000000001</v>
      </c>
      <c r="T215" s="1">
        <v>676</v>
      </c>
      <c r="U215" s="1">
        <v>45</v>
      </c>
      <c r="V215" s="12">
        <v>45</v>
      </c>
      <c r="W215" s="18" t="str">
        <f t="shared" si="14"/>
        <v>NIE</v>
      </c>
    </row>
    <row r="216" spans="1:23" ht="15" thickBot="1" x14ac:dyDescent="0.35">
      <c r="A216" s="54"/>
      <c r="B216" s="39">
        <v>12</v>
      </c>
      <c r="C216" s="15">
        <v>1.4354119999999999</v>
      </c>
      <c r="D216" s="47">
        <v>1.4412799999999999</v>
      </c>
      <c r="E216" s="9">
        <v>1.7471890000000001</v>
      </c>
      <c r="F216" s="1">
        <v>-0.87005299999999997</v>
      </c>
      <c r="G216" s="1">
        <v>0.29865199999999997</v>
      </c>
      <c r="H216" s="1">
        <v>511</v>
      </c>
      <c r="I216" s="12">
        <v>34</v>
      </c>
      <c r="J216" s="18" t="str">
        <f t="shared" si="12"/>
        <v>NIE</v>
      </c>
      <c r="K216" s="9" t="s">
        <v>23</v>
      </c>
      <c r="L216" s="9" t="s">
        <v>23</v>
      </c>
      <c r="M216" s="9" t="s">
        <v>23</v>
      </c>
      <c r="N216" s="1">
        <v>211</v>
      </c>
      <c r="O216" s="12">
        <v>40</v>
      </c>
      <c r="P216" s="18" t="e">
        <f t="shared" si="13"/>
        <v>#VALUE!</v>
      </c>
      <c r="Q216" s="15">
        <v>1.0716749999999999</v>
      </c>
      <c r="R216" s="1">
        <v>-0.52661100000000005</v>
      </c>
      <c r="S216" s="1">
        <v>0.877444</v>
      </c>
      <c r="T216" s="1">
        <v>781</v>
      </c>
      <c r="U216" s="1">
        <v>52</v>
      </c>
      <c r="V216" s="12">
        <v>52</v>
      </c>
      <c r="W216" s="18" t="str">
        <f t="shared" si="14"/>
        <v>NIE</v>
      </c>
    </row>
    <row r="217" spans="1:23" ht="15" thickBot="1" x14ac:dyDescent="0.35">
      <c r="A217" s="54"/>
      <c r="B217" s="39">
        <v>13</v>
      </c>
      <c r="C217" s="15">
        <v>0.74565999999999999</v>
      </c>
      <c r="D217" s="47">
        <v>0.19217200000000001</v>
      </c>
      <c r="E217" s="9">
        <v>1.8029999999999999E-3</v>
      </c>
      <c r="F217" s="1">
        <v>-4.346E-3</v>
      </c>
      <c r="G217" s="1">
        <v>1.8E-5</v>
      </c>
      <c r="H217" s="1">
        <v>346</v>
      </c>
      <c r="I217" s="12">
        <v>23</v>
      </c>
      <c r="J217" s="18" t="str">
        <f t="shared" si="12"/>
        <v>TAK</v>
      </c>
      <c r="K217" s="9">
        <v>4.3199999999999998E-4</v>
      </c>
      <c r="L217" s="9">
        <v>-4.7699999999999999E-4</v>
      </c>
      <c r="M217" s="9">
        <v>0</v>
      </c>
      <c r="N217" s="1">
        <v>211</v>
      </c>
      <c r="O217" s="12">
        <v>40</v>
      </c>
      <c r="P217" s="18" t="str">
        <f t="shared" si="13"/>
        <v>TAK</v>
      </c>
      <c r="Q217" s="15">
        <v>1.067617</v>
      </c>
      <c r="R217" s="1">
        <v>-0.52691399999999999</v>
      </c>
      <c r="S217" s="1">
        <v>0.87739</v>
      </c>
      <c r="T217" s="1">
        <v>631</v>
      </c>
      <c r="U217" s="1">
        <v>42</v>
      </c>
      <c r="V217" s="12">
        <v>42</v>
      </c>
      <c r="W217" s="18" t="str">
        <f t="shared" si="14"/>
        <v>NIE</v>
      </c>
    </row>
    <row r="218" spans="1:23" ht="15" thickBot="1" x14ac:dyDescent="0.35">
      <c r="A218" s="54"/>
      <c r="B218" s="39">
        <v>14</v>
      </c>
      <c r="C218" s="15">
        <v>0.19000700000000001</v>
      </c>
      <c r="D218" s="47">
        <v>1.3063750000000001</v>
      </c>
      <c r="E218" s="9">
        <v>-1.787E-3</v>
      </c>
      <c r="F218" s="1">
        <v>4.313E-3</v>
      </c>
      <c r="G218" s="1">
        <v>1.7E-5</v>
      </c>
      <c r="H218" s="1">
        <v>481</v>
      </c>
      <c r="I218" s="12">
        <v>32</v>
      </c>
      <c r="J218" s="18" t="str">
        <f t="shared" si="12"/>
        <v>TAK</v>
      </c>
      <c r="K218" s="9">
        <v>-5.1000000000000004E-4</v>
      </c>
      <c r="L218" s="9">
        <v>1.42E-3</v>
      </c>
      <c r="M218" s="9">
        <v>1.9999999999999999E-6</v>
      </c>
      <c r="N218" s="1">
        <v>211</v>
      </c>
      <c r="O218" s="12">
        <v>40</v>
      </c>
      <c r="P218" s="18" t="str">
        <f t="shared" si="13"/>
        <v>TAK</v>
      </c>
      <c r="Q218" s="15">
        <v>1.173E-3</v>
      </c>
      <c r="R218" s="1">
        <v>8.5249999999999996E-3</v>
      </c>
      <c r="S218" s="1">
        <v>8.5000000000000006E-5</v>
      </c>
      <c r="T218" s="1">
        <v>721</v>
      </c>
      <c r="U218" s="1">
        <v>48</v>
      </c>
      <c r="V218" s="12">
        <v>48</v>
      </c>
      <c r="W218" s="18" t="str">
        <f t="shared" si="14"/>
        <v>TAK</v>
      </c>
    </row>
    <row r="219" spans="1:23" ht="15" thickBot="1" x14ac:dyDescent="0.35">
      <c r="A219" s="54"/>
      <c r="B219" s="39">
        <v>15</v>
      </c>
      <c r="C219" s="15">
        <v>0.93476099999999995</v>
      </c>
      <c r="D219" s="47">
        <v>0.23490900000000001</v>
      </c>
      <c r="E219" s="9">
        <v>1.8619999999999999E-3</v>
      </c>
      <c r="F219" s="1">
        <v>-4.4939999999999997E-3</v>
      </c>
      <c r="G219" s="1">
        <v>1.9000000000000001E-5</v>
      </c>
      <c r="H219" s="1">
        <v>406</v>
      </c>
      <c r="I219" s="12">
        <v>27</v>
      </c>
      <c r="J219" s="18" t="str">
        <f t="shared" si="12"/>
        <v>TAK</v>
      </c>
      <c r="K219" s="9">
        <v>6.1399999999999996E-4</v>
      </c>
      <c r="L219" s="9">
        <v>-1.8680000000000001E-3</v>
      </c>
      <c r="M219" s="9">
        <v>3.0000000000000001E-6</v>
      </c>
      <c r="N219" s="1">
        <v>256</v>
      </c>
      <c r="O219" s="12">
        <v>49</v>
      </c>
      <c r="P219" s="18" t="str">
        <f t="shared" si="13"/>
        <v>TAK</v>
      </c>
      <c r="Q219" s="15">
        <v>1.069161</v>
      </c>
      <c r="R219" s="1">
        <v>-0.52686500000000003</v>
      </c>
      <c r="S219" s="1">
        <v>0.877417</v>
      </c>
      <c r="T219" s="1">
        <v>646</v>
      </c>
      <c r="U219" s="1">
        <v>43</v>
      </c>
      <c r="V219" s="12">
        <v>43</v>
      </c>
      <c r="W219" s="18" t="str">
        <f t="shared" si="14"/>
        <v>NIE</v>
      </c>
    </row>
    <row r="220" spans="1:23" ht="15" thickBot="1" x14ac:dyDescent="0.35">
      <c r="A220" s="54"/>
      <c r="B220" s="39">
        <v>16</v>
      </c>
      <c r="C220" s="15">
        <v>0.19444500000000001</v>
      </c>
      <c r="D220" s="47">
        <v>1.249309</v>
      </c>
      <c r="E220" s="9">
        <v>-2.0179999999999998E-3</v>
      </c>
      <c r="F220" s="1">
        <v>4.8710000000000003E-3</v>
      </c>
      <c r="G220" s="1">
        <v>2.1999999999999999E-5</v>
      </c>
      <c r="H220" s="1">
        <v>466</v>
      </c>
      <c r="I220" s="12">
        <v>31</v>
      </c>
      <c r="J220" s="18" t="str">
        <f t="shared" si="12"/>
        <v>TAK</v>
      </c>
      <c r="K220" s="9">
        <v>-5.0000000000000001E-4</v>
      </c>
      <c r="L220" s="9">
        <v>1.3749999999999999E-3</v>
      </c>
      <c r="M220" s="9">
        <v>1.9999999999999999E-6</v>
      </c>
      <c r="N220" s="1">
        <v>211</v>
      </c>
      <c r="O220" s="12">
        <v>40</v>
      </c>
      <c r="P220" s="18" t="str">
        <f t="shared" si="13"/>
        <v>TAK</v>
      </c>
      <c r="Q220" s="15">
        <v>1.1980000000000001E-3</v>
      </c>
      <c r="R220" s="1">
        <v>8.1560000000000001E-3</v>
      </c>
      <c r="S220" s="1">
        <v>7.8999999999999996E-5</v>
      </c>
      <c r="T220" s="1">
        <v>721</v>
      </c>
      <c r="U220" s="1">
        <v>48</v>
      </c>
      <c r="V220" s="12">
        <v>48</v>
      </c>
      <c r="W220" s="18" t="str">
        <f t="shared" si="14"/>
        <v>TAK</v>
      </c>
    </row>
    <row r="221" spans="1:23" ht="15" thickBot="1" x14ac:dyDescent="0.35">
      <c r="A221" s="54"/>
      <c r="B221" s="39">
        <v>17</v>
      </c>
      <c r="C221" s="15">
        <v>1.2201960000000001</v>
      </c>
      <c r="D221" s="47">
        <v>2.5964999999999998E-2</v>
      </c>
      <c r="E221" s="9">
        <v>1.7471939999999999</v>
      </c>
      <c r="F221" s="1">
        <v>-0.87010600000000005</v>
      </c>
      <c r="G221" s="1">
        <v>0.298651</v>
      </c>
      <c r="H221" s="1">
        <v>436</v>
      </c>
      <c r="I221" s="12">
        <v>29</v>
      </c>
      <c r="J221" s="18" t="str">
        <f t="shared" si="12"/>
        <v>NIE</v>
      </c>
      <c r="K221" s="9" t="s">
        <v>23</v>
      </c>
      <c r="L221" s="9" t="s">
        <v>23</v>
      </c>
      <c r="M221" s="9" t="s">
        <v>23</v>
      </c>
      <c r="N221" s="1">
        <v>151</v>
      </c>
      <c r="O221" s="12">
        <v>28</v>
      </c>
      <c r="P221" s="18" t="e">
        <f t="shared" si="13"/>
        <v>#VALUE!</v>
      </c>
      <c r="Q221" s="15">
        <v>1.0727880000000001</v>
      </c>
      <c r="R221" s="1">
        <v>-0.52682099999999998</v>
      </c>
      <c r="S221" s="1">
        <v>0.87744200000000006</v>
      </c>
      <c r="T221" s="1">
        <v>601</v>
      </c>
      <c r="U221" s="1">
        <v>40</v>
      </c>
      <c r="V221" s="12">
        <v>40</v>
      </c>
      <c r="W221" s="18" t="str">
        <f t="shared" si="14"/>
        <v>NIE</v>
      </c>
    </row>
    <row r="222" spans="1:23" ht="15" thickBot="1" x14ac:dyDescent="0.35">
      <c r="A222" s="54"/>
      <c r="B222" s="39">
        <v>18</v>
      </c>
      <c r="C222" s="15">
        <v>1.5943830000000001</v>
      </c>
      <c r="D222" s="47">
        <v>1.103038</v>
      </c>
      <c r="E222" s="9">
        <v>1.747169</v>
      </c>
      <c r="F222" s="1">
        <v>-0.86984700000000004</v>
      </c>
      <c r="G222" s="1">
        <v>0.298653</v>
      </c>
      <c r="H222" s="1">
        <v>451</v>
      </c>
      <c r="I222" s="12">
        <v>30</v>
      </c>
      <c r="J222" s="18" t="str">
        <f t="shared" si="12"/>
        <v>NIE</v>
      </c>
      <c r="K222" s="9">
        <v>1.7473799999999999</v>
      </c>
      <c r="L222" s="9">
        <v>-0.87265700000000002</v>
      </c>
      <c r="M222" s="9">
        <v>0.29864000000000002</v>
      </c>
      <c r="N222" s="1">
        <v>196</v>
      </c>
      <c r="O222" s="12">
        <v>37</v>
      </c>
      <c r="P222" s="18" t="str">
        <f t="shared" si="13"/>
        <v>NIE</v>
      </c>
      <c r="Q222" s="15">
        <v>1.747161</v>
      </c>
      <c r="R222" s="1">
        <v>-0.86545899999999998</v>
      </c>
      <c r="S222" s="1">
        <v>0.298705</v>
      </c>
      <c r="T222" s="1">
        <v>781</v>
      </c>
      <c r="U222" s="1">
        <v>52</v>
      </c>
      <c r="V222" s="12">
        <v>52</v>
      </c>
      <c r="W222" s="18" t="str">
        <f t="shared" si="14"/>
        <v>NIE</v>
      </c>
    </row>
    <row r="223" spans="1:23" ht="15" thickBot="1" x14ac:dyDescent="0.35">
      <c r="A223" s="54"/>
      <c r="B223" s="39">
        <v>19</v>
      </c>
      <c r="C223" s="15">
        <v>1.924612</v>
      </c>
      <c r="D223" s="47">
        <v>1.017066</v>
      </c>
      <c r="E223" s="9">
        <v>1.7471639999999999</v>
      </c>
      <c r="F223" s="1">
        <v>-0.86979700000000004</v>
      </c>
      <c r="G223" s="1">
        <v>0.29865399999999998</v>
      </c>
      <c r="H223" s="1">
        <v>451</v>
      </c>
      <c r="I223" s="12">
        <v>30</v>
      </c>
      <c r="J223" s="18" t="str">
        <f t="shared" si="12"/>
        <v>NIE</v>
      </c>
      <c r="K223" s="9" t="s">
        <v>23</v>
      </c>
      <c r="L223" s="9" t="e">
        <v>#NAME?</v>
      </c>
      <c r="M223" s="9" t="s">
        <v>23</v>
      </c>
      <c r="N223" s="1">
        <v>166</v>
      </c>
      <c r="O223" s="12">
        <v>31</v>
      </c>
      <c r="P223" s="18" t="e">
        <f t="shared" si="13"/>
        <v>#VALUE!</v>
      </c>
      <c r="Q223" s="15">
        <v>1.748907</v>
      </c>
      <c r="R223" s="1">
        <v>-0.86505900000000002</v>
      </c>
      <c r="S223" s="1">
        <v>0.29873699999999997</v>
      </c>
      <c r="T223" s="1">
        <v>766</v>
      </c>
      <c r="U223" s="1">
        <v>51</v>
      </c>
      <c r="V223" s="12">
        <v>51</v>
      </c>
      <c r="W223" s="18" t="str">
        <f t="shared" si="14"/>
        <v>NIE</v>
      </c>
    </row>
    <row r="224" spans="1:23" ht="15" thickBot="1" x14ac:dyDescent="0.35">
      <c r="A224" s="54"/>
      <c r="B224" s="39">
        <v>20</v>
      </c>
      <c r="C224" s="15">
        <v>0.28139199999999998</v>
      </c>
      <c r="D224" s="47">
        <v>1.0827580000000001</v>
      </c>
      <c r="E224" s="9">
        <v>-1.967E-3</v>
      </c>
      <c r="F224" s="1">
        <v>4.7479999999999996E-3</v>
      </c>
      <c r="G224" s="1">
        <v>2.0999999999999999E-5</v>
      </c>
      <c r="H224" s="1">
        <v>451</v>
      </c>
      <c r="I224" s="12">
        <v>30</v>
      </c>
      <c r="J224" s="18" t="str">
        <f t="shared" si="12"/>
        <v>TAK</v>
      </c>
      <c r="K224" s="9">
        <v>-4.2000000000000002E-4</v>
      </c>
      <c r="L224" s="9">
        <v>1.2160000000000001E-3</v>
      </c>
      <c r="M224" s="9">
        <v>9.9999999999999995E-7</v>
      </c>
      <c r="N224" s="1">
        <v>211</v>
      </c>
      <c r="O224" s="12">
        <v>40</v>
      </c>
      <c r="P224" s="18" t="str">
        <f t="shared" si="13"/>
        <v>TAK</v>
      </c>
      <c r="Q224" s="15">
        <v>2.0089999999999999E-3</v>
      </c>
      <c r="R224" s="1">
        <v>8.8079999999999999E-3</v>
      </c>
      <c r="S224" s="1">
        <v>1.03E-4</v>
      </c>
      <c r="T224" s="1">
        <v>691</v>
      </c>
      <c r="U224" s="1">
        <v>46</v>
      </c>
      <c r="V224" s="12">
        <v>46</v>
      </c>
      <c r="W224" s="18" t="str">
        <f t="shared" si="14"/>
        <v>TAK</v>
      </c>
    </row>
    <row r="225" spans="1:23" ht="15" thickBot="1" x14ac:dyDescent="0.35">
      <c r="A225" s="54"/>
      <c r="B225" s="39">
        <v>21</v>
      </c>
      <c r="C225" s="15">
        <v>1.279163</v>
      </c>
      <c r="D225" s="47">
        <v>1.183705</v>
      </c>
      <c r="E225" s="9">
        <v>1.797E-3</v>
      </c>
      <c r="F225" s="1">
        <v>-4.3379999999999998E-3</v>
      </c>
      <c r="G225" s="1">
        <v>1.7E-5</v>
      </c>
      <c r="H225" s="1">
        <v>466</v>
      </c>
      <c r="I225" s="12">
        <v>31</v>
      </c>
      <c r="J225" s="18" t="str">
        <f t="shared" si="12"/>
        <v>TAK</v>
      </c>
      <c r="K225" s="9" t="s">
        <v>23</v>
      </c>
      <c r="L225" s="9" t="s">
        <v>23</v>
      </c>
      <c r="M225" s="9" t="s">
        <v>23</v>
      </c>
      <c r="N225" s="1">
        <v>196</v>
      </c>
      <c r="O225" s="12">
        <v>37</v>
      </c>
      <c r="P225" s="18" t="e">
        <f t="shared" si="13"/>
        <v>#VALUE!</v>
      </c>
      <c r="Q225" s="15">
        <v>1.0714980000000001</v>
      </c>
      <c r="R225" s="1">
        <v>-0.52709499999999998</v>
      </c>
      <c r="S225" s="1">
        <v>0.87743400000000005</v>
      </c>
      <c r="T225" s="1">
        <v>766</v>
      </c>
      <c r="U225" s="1">
        <v>51</v>
      </c>
      <c r="V225" s="12">
        <v>51</v>
      </c>
      <c r="W225" s="18" t="str">
        <f t="shared" si="14"/>
        <v>NIE</v>
      </c>
    </row>
    <row r="226" spans="1:23" ht="15" thickBot="1" x14ac:dyDescent="0.35">
      <c r="A226" s="54"/>
      <c r="B226" s="39">
        <v>22</v>
      </c>
      <c r="C226" s="15">
        <v>0.541632</v>
      </c>
      <c r="D226" s="47">
        <v>1.2829930000000001</v>
      </c>
      <c r="E226" s="9">
        <v>-1.7619999999999999E-3</v>
      </c>
      <c r="F226" s="1">
        <v>4.2529999999999998E-3</v>
      </c>
      <c r="G226" s="1">
        <v>1.7E-5</v>
      </c>
      <c r="H226" s="1">
        <v>466</v>
      </c>
      <c r="I226" s="12">
        <v>31</v>
      </c>
      <c r="J226" s="18" t="str">
        <f t="shared" si="12"/>
        <v>TAK</v>
      </c>
      <c r="K226" s="9">
        <v>-3.6400000000000001E-4</v>
      </c>
      <c r="L226" s="9">
        <v>1.3450000000000001E-3</v>
      </c>
      <c r="M226" s="9">
        <v>1.9999999999999999E-6</v>
      </c>
      <c r="N226" s="1">
        <v>211</v>
      </c>
      <c r="O226" s="12">
        <v>40</v>
      </c>
      <c r="P226" s="18" t="str">
        <f t="shared" si="13"/>
        <v>TAK</v>
      </c>
      <c r="Q226" s="15">
        <v>-6.9999999999999999E-6</v>
      </c>
      <c r="R226" s="1">
        <v>8.1939999999999999E-3</v>
      </c>
      <c r="S226" s="1">
        <v>6.7000000000000002E-5</v>
      </c>
      <c r="T226" s="1">
        <v>751</v>
      </c>
      <c r="U226" s="1">
        <v>50</v>
      </c>
      <c r="V226" s="12">
        <v>50</v>
      </c>
      <c r="W226" s="18" t="str">
        <f t="shared" si="14"/>
        <v>TAK</v>
      </c>
    </row>
    <row r="227" spans="1:23" ht="15" thickBot="1" x14ac:dyDescent="0.35">
      <c r="A227" s="54"/>
      <c r="B227" s="39">
        <v>23</v>
      </c>
      <c r="C227" s="15">
        <v>7.6936000000000004E-2</v>
      </c>
      <c r="D227" s="47">
        <v>5.9822E-2</v>
      </c>
      <c r="E227" s="9">
        <v>-1.498E-3</v>
      </c>
      <c r="F227" s="1">
        <v>4.3699999999999998E-3</v>
      </c>
      <c r="G227" s="1">
        <v>1.7E-5</v>
      </c>
      <c r="H227" s="1">
        <v>151</v>
      </c>
      <c r="I227" s="12">
        <v>10</v>
      </c>
      <c r="J227" s="18" t="str">
        <f t="shared" si="12"/>
        <v>TAK</v>
      </c>
      <c r="K227" s="9">
        <v>-4.57E-4</v>
      </c>
      <c r="L227" s="9">
        <v>5.4600000000000004E-4</v>
      </c>
      <c r="M227" s="9">
        <v>0</v>
      </c>
      <c r="N227" s="1">
        <v>136</v>
      </c>
      <c r="O227" s="12">
        <v>25</v>
      </c>
      <c r="P227" s="18" t="str">
        <f t="shared" si="13"/>
        <v>TAK</v>
      </c>
      <c r="Q227" s="15">
        <v>6.8329999999999997E-3</v>
      </c>
      <c r="R227" s="1">
        <v>5.3860000000000002E-3</v>
      </c>
      <c r="S227" s="1">
        <v>1.5899999999999999E-4</v>
      </c>
      <c r="T227" s="1">
        <v>346</v>
      </c>
      <c r="U227" s="1">
        <v>23</v>
      </c>
      <c r="V227" s="12">
        <v>23</v>
      </c>
      <c r="W227" s="18" t="str">
        <f t="shared" si="14"/>
        <v>TAK</v>
      </c>
    </row>
    <row r="228" spans="1:23" ht="15" thickBot="1" x14ac:dyDescent="0.35">
      <c r="A228" s="54"/>
      <c r="B228" s="39">
        <v>24</v>
      </c>
      <c r="C228" s="15">
        <v>1.651637</v>
      </c>
      <c r="D228" s="47">
        <v>0.778756</v>
      </c>
      <c r="E228" s="9">
        <v>1.7471699999999999</v>
      </c>
      <c r="F228" s="1">
        <v>-0.86986600000000003</v>
      </c>
      <c r="G228" s="1">
        <v>0.298653</v>
      </c>
      <c r="H228" s="1">
        <v>436</v>
      </c>
      <c r="I228" s="12">
        <v>29</v>
      </c>
      <c r="J228" s="18" t="str">
        <f t="shared" si="12"/>
        <v>NIE</v>
      </c>
      <c r="K228" s="9">
        <v>1.7475290000000001</v>
      </c>
      <c r="L228" s="9">
        <v>-0.87287300000000001</v>
      </c>
      <c r="M228" s="9">
        <v>0.29863899999999999</v>
      </c>
      <c r="N228" s="1">
        <v>211</v>
      </c>
      <c r="O228" s="12">
        <v>40</v>
      </c>
      <c r="P228" s="18" t="str">
        <f t="shared" si="13"/>
        <v>NIE</v>
      </c>
      <c r="Q228" s="15">
        <v>1.74718</v>
      </c>
      <c r="R228" s="1">
        <v>-0.86513099999999998</v>
      </c>
      <c r="S228" s="1">
        <v>0.298711</v>
      </c>
      <c r="T228" s="1">
        <v>751</v>
      </c>
      <c r="U228" s="1">
        <v>50</v>
      </c>
      <c r="V228" s="12">
        <v>50</v>
      </c>
      <c r="W228" s="18" t="str">
        <f t="shared" si="14"/>
        <v>NIE</v>
      </c>
    </row>
    <row r="229" spans="1:23" ht="15" thickBot="1" x14ac:dyDescent="0.35">
      <c r="A229" s="54"/>
      <c r="B229" s="39">
        <v>25</v>
      </c>
      <c r="C229" s="15">
        <v>1.876895</v>
      </c>
      <c r="D229" s="47">
        <v>1.4321649999999999</v>
      </c>
      <c r="E229" s="9">
        <v>1.747155</v>
      </c>
      <c r="F229" s="1">
        <v>-0.86971299999999996</v>
      </c>
      <c r="G229" s="1">
        <v>0.29865399999999998</v>
      </c>
      <c r="H229" s="1">
        <v>466</v>
      </c>
      <c r="I229" s="12">
        <v>31</v>
      </c>
      <c r="J229" s="18" t="str">
        <f t="shared" si="12"/>
        <v>NIE</v>
      </c>
      <c r="K229" s="9" t="s">
        <v>23</v>
      </c>
      <c r="L229" s="9" t="s">
        <v>23</v>
      </c>
      <c r="M229" s="9" t="s">
        <v>23</v>
      </c>
      <c r="N229" s="1">
        <v>241</v>
      </c>
      <c r="O229" s="12">
        <v>46</v>
      </c>
      <c r="P229" s="18" t="e">
        <f t="shared" si="13"/>
        <v>#VALUE!</v>
      </c>
      <c r="Q229" s="15">
        <v>1.748264</v>
      </c>
      <c r="R229" s="1">
        <v>-0.86500999999999995</v>
      </c>
      <c r="S229" s="1">
        <v>0.29872500000000002</v>
      </c>
      <c r="T229" s="1">
        <v>796</v>
      </c>
      <c r="U229" s="1">
        <v>53</v>
      </c>
      <c r="V229" s="12">
        <v>53</v>
      </c>
      <c r="W229" s="18" t="str">
        <f t="shared" si="14"/>
        <v>NIE</v>
      </c>
    </row>
    <row r="230" spans="1:23" ht="15" thickBot="1" x14ac:dyDescent="0.35">
      <c r="A230" s="54"/>
      <c r="B230" s="39">
        <v>26</v>
      </c>
      <c r="C230" s="15">
        <v>1.2270369999999999</v>
      </c>
      <c r="D230" s="47">
        <v>1.70739</v>
      </c>
      <c r="E230" s="9">
        <v>-1.745E-3</v>
      </c>
      <c r="F230" s="1">
        <v>4.2180000000000004E-3</v>
      </c>
      <c r="G230" s="1">
        <v>1.7E-5</v>
      </c>
      <c r="H230" s="1">
        <v>391</v>
      </c>
      <c r="I230" s="12">
        <v>26</v>
      </c>
      <c r="J230" s="18" t="str">
        <f t="shared" si="12"/>
        <v>TAK</v>
      </c>
      <c r="K230" s="9">
        <v>6.3299999999999999E-4</v>
      </c>
      <c r="L230" s="9">
        <v>-1.6789999999999999E-3</v>
      </c>
      <c r="M230" s="9">
        <v>3.0000000000000001E-6</v>
      </c>
      <c r="N230" s="1">
        <v>196</v>
      </c>
      <c r="O230" s="12">
        <v>37</v>
      </c>
      <c r="P230" s="18" t="str">
        <f t="shared" si="13"/>
        <v>TAK</v>
      </c>
      <c r="Q230" s="15">
        <v>1.0711409999999999</v>
      </c>
      <c r="R230" s="1">
        <v>-0.52664</v>
      </c>
      <c r="S230" s="1">
        <v>0.87744100000000003</v>
      </c>
      <c r="T230" s="1">
        <v>796</v>
      </c>
      <c r="U230" s="1">
        <v>53</v>
      </c>
      <c r="V230" s="12">
        <v>53</v>
      </c>
      <c r="W230" s="18" t="str">
        <f t="shared" si="14"/>
        <v>NIE</v>
      </c>
    </row>
    <row r="231" spans="1:23" ht="15" thickBot="1" x14ac:dyDescent="0.35">
      <c r="A231" s="54"/>
      <c r="B231" s="39">
        <v>27</v>
      </c>
      <c r="C231" s="15">
        <v>1.5014430000000001</v>
      </c>
      <c r="D231" s="47">
        <v>1.487339</v>
      </c>
      <c r="E231" s="9">
        <v>1.7471890000000001</v>
      </c>
      <c r="F231" s="1">
        <v>-0.87005699999999997</v>
      </c>
      <c r="G231" s="1">
        <v>0.29865199999999997</v>
      </c>
      <c r="H231" s="1">
        <v>481</v>
      </c>
      <c r="I231" s="12">
        <v>32</v>
      </c>
      <c r="J231" s="18" t="str">
        <f t="shared" si="12"/>
        <v>NIE</v>
      </c>
      <c r="K231" s="9" t="s">
        <v>23</v>
      </c>
      <c r="L231" s="9" t="s">
        <v>23</v>
      </c>
      <c r="M231" s="9" t="s">
        <v>23</v>
      </c>
      <c r="N231" s="1">
        <v>181</v>
      </c>
      <c r="O231" s="12">
        <v>34</v>
      </c>
      <c r="P231" s="18" t="e">
        <f t="shared" si="13"/>
        <v>#VALUE!</v>
      </c>
      <c r="Q231" s="15">
        <v>1.7476240000000001</v>
      </c>
      <c r="R231" s="1">
        <v>-0.86519999999999997</v>
      </c>
      <c r="S231" s="1">
        <v>0.29871300000000001</v>
      </c>
      <c r="T231" s="1">
        <v>796</v>
      </c>
      <c r="U231" s="1">
        <v>53</v>
      </c>
      <c r="V231" s="12">
        <v>53</v>
      </c>
      <c r="W231" s="18" t="str">
        <f t="shared" si="14"/>
        <v>NIE</v>
      </c>
    </row>
    <row r="232" spans="1:23" ht="15" thickBot="1" x14ac:dyDescent="0.35">
      <c r="A232" s="54"/>
      <c r="B232" s="39">
        <v>28</v>
      </c>
      <c r="C232" s="15">
        <v>0.47789199999999998</v>
      </c>
      <c r="D232" s="47">
        <v>1.372185</v>
      </c>
      <c r="E232" s="9">
        <v>-1.9840000000000001E-3</v>
      </c>
      <c r="F232" s="1">
        <v>4.79E-3</v>
      </c>
      <c r="G232" s="1">
        <v>2.0999999999999999E-5</v>
      </c>
      <c r="H232" s="1">
        <v>466</v>
      </c>
      <c r="I232" s="12">
        <v>31</v>
      </c>
      <c r="J232" s="18" t="str">
        <f t="shared" si="12"/>
        <v>TAK</v>
      </c>
      <c r="K232" s="9">
        <v>-4.2099999999999999E-4</v>
      </c>
      <c r="L232" s="9">
        <v>1.456E-3</v>
      </c>
      <c r="M232" s="9">
        <v>1.9999999999999999E-6</v>
      </c>
      <c r="N232" s="1">
        <v>211</v>
      </c>
      <c r="O232" s="12">
        <v>40</v>
      </c>
      <c r="P232" s="18" t="str">
        <f t="shared" si="13"/>
        <v>TAK</v>
      </c>
      <c r="Q232" s="15">
        <v>1.8500000000000001E-3</v>
      </c>
      <c r="R232" s="1">
        <v>8.5070000000000007E-3</v>
      </c>
      <c r="S232" s="1">
        <v>9.5000000000000005E-5</v>
      </c>
      <c r="T232" s="1">
        <v>736</v>
      </c>
      <c r="U232" s="1">
        <v>49</v>
      </c>
      <c r="V232" s="12">
        <v>49</v>
      </c>
      <c r="W232" s="18" t="str">
        <f t="shared" si="14"/>
        <v>TAK</v>
      </c>
    </row>
    <row r="233" spans="1:23" ht="15" thickBot="1" x14ac:dyDescent="0.35">
      <c r="A233" s="54"/>
      <c r="B233" s="39">
        <v>29</v>
      </c>
      <c r="C233" s="15">
        <v>1.4256359999999999</v>
      </c>
      <c r="D233" s="47">
        <v>0.45124900000000001</v>
      </c>
      <c r="E233" s="9">
        <v>1.7471410000000001</v>
      </c>
      <c r="F233" s="1">
        <v>-0.86956999999999995</v>
      </c>
      <c r="G233" s="1">
        <v>0.298655</v>
      </c>
      <c r="H233" s="1">
        <v>421</v>
      </c>
      <c r="I233" s="12">
        <v>28</v>
      </c>
      <c r="J233" s="18" t="str">
        <f t="shared" si="12"/>
        <v>NIE</v>
      </c>
      <c r="K233" s="9">
        <v>1.747506</v>
      </c>
      <c r="L233" s="9">
        <v>-0.87269600000000003</v>
      </c>
      <c r="M233" s="9">
        <v>0.29864000000000002</v>
      </c>
      <c r="N233" s="1">
        <v>196</v>
      </c>
      <c r="O233" s="12">
        <v>37</v>
      </c>
      <c r="P233" s="18" t="str">
        <f t="shared" si="13"/>
        <v>NIE</v>
      </c>
      <c r="Q233" s="15">
        <v>1.0727070000000001</v>
      </c>
      <c r="R233" s="1">
        <v>-0.52701799999999999</v>
      </c>
      <c r="S233" s="1">
        <v>0.87743800000000005</v>
      </c>
      <c r="T233" s="1">
        <v>691</v>
      </c>
      <c r="U233" s="1">
        <v>46</v>
      </c>
      <c r="V233" s="12">
        <v>46</v>
      </c>
      <c r="W233" s="18" t="str">
        <f t="shared" si="14"/>
        <v>NIE</v>
      </c>
    </row>
    <row r="234" spans="1:23" ht="15" thickBot="1" x14ac:dyDescent="0.35">
      <c r="A234" s="54"/>
      <c r="B234" s="39">
        <v>30</v>
      </c>
      <c r="C234" s="15">
        <v>0.80971700000000002</v>
      </c>
      <c r="D234" s="47">
        <v>6.3152E-2</v>
      </c>
      <c r="E234" s="9">
        <v>2.0089999999999999E-3</v>
      </c>
      <c r="F234" s="1">
        <v>-4.849E-3</v>
      </c>
      <c r="G234" s="1">
        <v>2.1999999999999999E-5</v>
      </c>
      <c r="H234" s="1">
        <v>391</v>
      </c>
      <c r="I234" s="12">
        <v>26</v>
      </c>
      <c r="J234" s="18" t="str">
        <f t="shared" si="12"/>
        <v>TAK</v>
      </c>
      <c r="K234" s="9">
        <v>-6.7199999999999996E-4</v>
      </c>
      <c r="L234" s="9">
        <v>6.2299999999999996E-4</v>
      </c>
      <c r="M234" s="9">
        <v>9.9999999999999995E-7</v>
      </c>
      <c r="N234" s="1">
        <v>166</v>
      </c>
      <c r="O234" s="12">
        <v>31</v>
      </c>
      <c r="P234" s="18" t="str">
        <f t="shared" si="13"/>
        <v>TAK</v>
      </c>
      <c r="Q234" s="15">
        <v>1.0676749999999999</v>
      </c>
      <c r="R234" s="1">
        <v>-0.52749500000000005</v>
      </c>
      <c r="S234" s="1">
        <v>0.87738400000000005</v>
      </c>
      <c r="T234" s="1">
        <v>616</v>
      </c>
      <c r="U234" s="1">
        <v>41</v>
      </c>
      <c r="V234" s="12">
        <v>41</v>
      </c>
      <c r="W234" s="18" t="str">
        <f t="shared" si="14"/>
        <v>NIE</v>
      </c>
    </row>
    <row r="235" spans="1:23" ht="15" thickBot="1" x14ac:dyDescent="0.35">
      <c r="A235" s="54"/>
      <c r="B235" s="39">
        <v>31</v>
      </c>
      <c r="C235" s="15">
        <v>1.021733</v>
      </c>
      <c r="D235" s="47">
        <v>1.2747090000000001</v>
      </c>
      <c r="E235" s="9">
        <v>-1.9980000000000002E-3</v>
      </c>
      <c r="F235" s="1">
        <v>4.8269999999999997E-3</v>
      </c>
      <c r="G235" s="1">
        <v>2.1999999999999999E-5</v>
      </c>
      <c r="H235" s="1">
        <v>391</v>
      </c>
      <c r="I235" s="12">
        <v>26</v>
      </c>
      <c r="J235" s="18" t="str">
        <f t="shared" si="12"/>
        <v>TAK</v>
      </c>
      <c r="K235" s="9">
        <v>-2.9E-5</v>
      </c>
      <c r="L235" s="9">
        <v>-4.5300000000000001E-4</v>
      </c>
      <c r="M235" s="9">
        <v>0</v>
      </c>
      <c r="N235" s="1">
        <v>181</v>
      </c>
      <c r="O235" s="12">
        <v>34</v>
      </c>
      <c r="P235" s="18" t="str">
        <f t="shared" si="13"/>
        <v>TAK</v>
      </c>
      <c r="Q235" s="15">
        <v>1.0703149999999999</v>
      </c>
      <c r="R235" s="1">
        <v>-0.52668199999999998</v>
      </c>
      <c r="S235" s="1">
        <v>0.87743300000000002</v>
      </c>
      <c r="T235" s="1">
        <v>766</v>
      </c>
      <c r="U235" s="1">
        <v>51</v>
      </c>
      <c r="V235" s="12">
        <v>51</v>
      </c>
      <c r="W235" s="18" t="str">
        <f t="shared" si="14"/>
        <v>NIE</v>
      </c>
    </row>
    <row r="236" spans="1:23" ht="15" thickBot="1" x14ac:dyDescent="0.35">
      <c r="A236" s="54"/>
      <c r="B236" s="39">
        <v>32</v>
      </c>
      <c r="C236" s="15">
        <v>1.592686</v>
      </c>
      <c r="D236" s="47">
        <v>1.4849699999999999</v>
      </c>
      <c r="E236" s="9">
        <v>1.7471589999999999</v>
      </c>
      <c r="F236" s="1">
        <v>-0.86974899999999999</v>
      </c>
      <c r="G236" s="1">
        <v>0.29865399999999998</v>
      </c>
      <c r="H236" s="1">
        <v>466</v>
      </c>
      <c r="I236" s="12">
        <v>31</v>
      </c>
      <c r="J236" s="18" t="str">
        <f t="shared" si="12"/>
        <v>NIE</v>
      </c>
      <c r="K236" s="9">
        <v>1.7476719999999999</v>
      </c>
      <c r="L236" s="9">
        <v>-0.87465899999999996</v>
      </c>
      <c r="M236" s="9">
        <v>0.29863899999999999</v>
      </c>
      <c r="N236" s="1">
        <v>316</v>
      </c>
      <c r="O236" s="12">
        <v>61</v>
      </c>
      <c r="P236" s="18" t="str">
        <f t="shared" si="13"/>
        <v>NIE</v>
      </c>
      <c r="Q236" s="15">
        <v>1.747198</v>
      </c>
      <c r="R236" s="1">
        <v>-0.86482000000000003</v>
      </c>
      <c r="S236" s="1">
        <v>0.29871599999999998</v>
      </c>
      <c r="T236" s="1">
        <v>796</v>
      </c>
      <c r="U236" s="1">
        <v>53</v>
      </c>
      <c r="V236" s="12">
        <v>53</v>
      </c>
      <c r="W236" s="18" t="str">
        <f t="shared" si="14"/>
        <v>NIE</v>
      </c>
    </row>
    <row r="237" spans="1:23" ht="15" thickBot="1" x14ac:dyDescent="0.35">
      <c r="A237" s="54"/>
      <c r="B237" s="39">
        <v>33</v>
      </c>
      <c r="C237" s="15">
        <v>1.812757</v>
      </c>
      <c r="D237" s="47">
        <v>0.47245100000000001</v>
      </c>
      <c r="E237" s="9">
        <v>1.747177</v>
      </c>
      <c r="F237" s="1">
        <v>-0.86992899999999995</v>
      </c>
      <c r="G237" s="1">
        <v>0.298653</v>
      </c>
      <c r="H237" s="1">
        <v>421</v>
      </c>
      <c r="I237" s="12">
        <v>28</v>
      </c>
      <c r="J237" s="18" t="str">
        <f t="shared" si="12"/>
        <v>NIE</v>
      </c>
      <c r="K237" s="9">
        <v>1.7475320000000001</v>
      </c>
      <c r="L237" s="9">
        <v>-0.87248400000000004</v>
      </c>
      <c r="M237" s="9">
        <v>0.29864000000000002</v>
      </c>
      <c r="N237" s="1">
        <v>196</v>
      </c>
      <c r="O237" s="12">
        <v>37</v>
      </c>
      <c r="P237" s="18" t="str">
        <f t="shared" si="13"/>
        <v>NIE</v>
      </c>
      <c r="Q237" s="15">
        <v>1.7480629999999999</v>
      </c>
      <c r="R237" s="1">
        <v>-0.865066</v>
      </c>
      <c r="S237" s="1">
        <v>0.29871999999999999</v>
      </c>
      <c r="T237" s="1">
        <v>721</v>
      </c>
      <c r="U237" s="1">
        <v>48</v>
      </c>
      <c r="V237" s="12">
        <v>48</v>
      </c>
      <c r="W237" s="18" t="str">
        <f t="shared" si="14"/>
        <v>NIE</v>
      </c>
    </row>
    <row r="238" spans="1:23" ht="15" thickBot="1" x14ac:dyDescent="0.35">
      <c r="A238" s="54"/>
      <c r="B238" s="39">
        <v>34</v>
      </c>
      <c r="C238" s="15">
        <v>0.15654399999999999</v>
      </c>
      <c r="D238" s="47">
        <v>1.6406879999999999</v>
      </c>
      <c r="E238" s="9">
        <v>-1.9480000000000001E-3</v>
      </c>
      <c r="F238" s="1">
        <v>4.7029999999999997E-3</v>
      </c>
      <c r="G238" s="1">
        <v>2.0999999999999999E-5</v>
      </c>
      <c r="H238" s="1">
        <v>496</v>
      </c>
      <c r="I238" s="12">
        <v>33</v>
      </c>
      <c r="J238" s="18" t="str">
        <f t="shared" si="12"/>
        <v>TAK</v>
      </c>
      <c r="K238" s="9">
        <v>-5.04E-4</v>
      </c>
      <c r="L238" s="9">
        <v>1.034E-3</v>
      </c>
      <c r="M238" s="9">
        <v>9.9999999999999995E-7</v>
      </c>
      <c r="N238" s="1">
        <v>226</v>
      </c>
      <c r="O238" s="12">
        <v>43</v>
      </c>
      <c r="P238" s="18" t="str">
        <f t="shared" si="13"/>
        <v>TAK</v>
      </c>
      <c r="Q238" s="15">
        <v>7.9699999999999997E-4</v>
      </c>
      <c r="R238" s="1">
        <v>8.6630000000000006E-3</v>
      </c>
      <c r="S238" s="1">
        <v>8.2999999999999998E-5</v>
      </c>
      <c r="T238" s="1">
        <v>751</v>
      </c>
      <c r="U238" s="1">
        <v>50</v>
      </c>
      <c r="V238" s="12">
        <v>50</v>
      </c>
      <c r="W238" s="18" t="str">
        <f t="shared" si="14"/>
        <v>TAK</v>
      </c>
    </row>
    <row r="239" spans="1:23" ht="15" thickBot="1" x14ac:dyDescent="0.35">
      <c r="A239" s="54"/>
      <c r="B239" s="39">
        <v>35</v>
      </c>
      <c r="C239" s="15">
        <v>0.39152700000000001</v>
      </c>
      <c r="D239" s="47">
        <v>1.3086599999999999</v>
      </c>
      <c r="E239" s="9">
        <v>-1.9559999999999998E-3</v>
      </c>
      <c r="F239" s="1">
        <v>4.7210000000000004E-3</v>
      </c>
      <c r="G239" s="1">
        <v>2.0999999999999999E-5</v>
      </c>
      <c r="H239" s="1">
        <v>466</v>
      </c>
      <c r="I239" s="12">
        <v>31</v>
      </c>
      <c r="J239" s="18" t="str">
        <f t="shared" si="12"/>
        <v>TAK</v>
      </c>
      <c r="K239" s="9">
        <v>-4.3899999999999999E-4</v>
      </c>
      <c r="L239" s="9">
        <v>1.4139999999999999E-3</v>
      </c>
      <c r="M239" s="9">
        <v>1.9999999999999999E-6</v>
      </c>
      <c r="N239" s="1">
        <v>211</v>
      </c>
      <c r="O239" s="12">
        <v>40</v>
      </c>
      <c r="P239" s="18" t="str">
        <f t="shared" si="13"/>
        <v>TAK</v>
      </c>
      <c r="Q239" s="15">
        <v>2.003E-3</v>
      </c>
      <c r="R239" s="1">
        <v>8.7810000000000006E-3</v>
      </c>
      <c r="S239" s="1">
        <v>1.03E-4</v>
      </c>
      <c r="T239" s="1">
        <v>721</v>
      </c>
      <c r="U239" s="1">
        <v>48</v>
      </c>
      <c r="V239" s="12">
        <v>48</v>
      </c>
      <c r="W239" s="18" t="str">
        <f t="shared" si="14"/>
        <v>TAK</v>
      </c>
    </row>
    <row r="240" spans="1:23" ht="15" thickBot="1" x14ac:dyDescent="0.35">
      <c r="A240" s="54"/>
      <c r="B240" s="39">
        <v>36</v>
      </c>
      <c r="C240" s="15">
        <v>0.84499899999999994</v>
      </c>
      <c r="D240" s="47">
        <v>1.1113390000000001</v>
      </c>
      <c r="E240" s="9">
        <v>-2.019E-3</v>
      </c>
      <c r="F240" s="1">
        <v>4.875E-3</v>
      </c>
      <c r="G240" s="1">
        <v>2.1999999999999999E-5</v>
      </c>
      <c r="H240" s="1">
        <v>406</v>
      </c>
      <c r="I240" s="12">
        <v>27</v>
      </c>
      <c r="J240" s="18" t="str">
        <f t="shared" si="12"/>
        <v>TAK</v>
      </c>
      <c r="K240" s="9">
        <v>-6.3E-5</v>
      </c>
      <c r="L240" s="9">
        <v>8.4400000000000002E-4</v>
      </c>
      <c r="M240" s="9">
        <v>9.9999999999999995E-7</v>
      </c>
      <c r="N240" s="1">
        <v>211</v>
      </c>
      <c r="O240" s="12">
        <v>40</v>
      </c>
      <c r="P240" s="18" t="str">
        <f t="shared" si="13"/>
        <v>TAK</v>
      </c>
      <c r="Q240" s="15">
        <v>1.0695349999999999</v>
      </c>
      <c r="R240" s="1">
        <v>-0.52668199999999998</v>
      </c>
      <c r="S240" s="1">
        <v>0.87742500000000001</v>
      </c>
      <c r="T240" s="1">
        <v>751</v>
      </c>
      <c r="U240" s="1">
        <v>50</v>
      </c>
      <c r="V240" s="12">
        <v>50</v>
      </c>
      <c r="W240" s="18" t="str">
        <f t="shared" si="14"/>
        <v>NIE</v>
      </c>
    </row>
    <row r="241" spans="1:23" ht="15" thickBot="1" x14ac:dyDescent="0.35">
      <c r="A241" s="54"/>
      <c r="B241" s="39">
        <v>37</v>
      </c>
      <c r="C241" s="15">
        <v>1.3307370000000001</v>
      </c>
      <c r="D241" s="47">
        <v>1.6567000000000001</v>
      </c>
      <c r="E241" s="9">
        <v>1.8829999999999999E-3</v>
      </c>
      <c r="F241" s="1">
        <v>-4.4999999999999997E-3</v>
      </c>
      <c r="G241" s="1">
        <v>1.9000000000000001E-5</v>
      </c>
      <c r="H241" s="1">
        <v>361</v>
      </c>
      <c r="I241" s="12">
        <v>24</v>
      </c>
      <c r="J241" s="18" t="str">
        <f t="shared" si="12"/>
        <v>TAK</v>
      </c>
      <c r="K241" s="9">
        <v>1.7475810000000001</v>
      </c>
      <c r="L241" s="9">
        <v>-0.87457200000000002</v>
      </c>
      <c r="M241" s="9">
        <v>0.29863899999999999</v>
      </c>
      <c r="N241" s="1">
        <v>466</v>
      </c>
      <c r="O241" s="12">
        <v>91</v>
      </c>
      <c r="P241" s="18" t="str">
        <f t="shared" si="13"/>
        <v>NIE</v>
      </c>
      <c r="Q241" s="15">
        <v>1.0714619999999999</v>
      </c>
      <c r="R241" s="1">
        <v>-0.52679600000000004</v>
      </c>
      <c r="S241" s="1">
        <v>0.87744</v>
      </c>
      <c r="T241" s="1">
        <v>796</v>
      </c>
      <c r="U241" s="1">
        <v>53</v>
      </c>
      <c r="V241" s="12">
        <v>53</v>
      </c>
      <c r="W241" s="18" t="str">
        <f t="shared" si="14"/>
        <v>NIE</v>
      </c>
    </row>
    <row r="242" spans="1:23" ht="15" thickBot="1" x14ac:dyDescent="0.35">
      <c r="A242" s="54"/>
      <c r="B242" s="39">
        <v>38</v>
      </c>
      <c r="C242" s="15">
        <v>1.5237620000000001</v>
      </c>
      <c r="D242" s="47">
        <v>1.1409050000000001</v>
      </c>
      <c r="E242" s="9">
        <v>1.7471449999999999</v>
      </c>
      <c r="F242" s="1">
        <v>-0.86960400000000004</v>
      </c>
      <c r="G242" s="1">
        <v>0.298655</v>
      </c>
      <c r="H242" s="1">
        <v>451</v>
      </c>
      <c r="I242" s="12">
        <v>30</v>
      </c>
      <c r="J242" s="18" t="str">
        <f t="shared" si="12"/>
        <v>NIE</v>
      </c>
      <c r="K242" s="9">
        <v>1.7477419999999999</v>
      </c>
      <c r="L242" s="9">
        <v>-0.87495500000000004</v>
      </c>
      <c r="M242" s="9">
        <v>0.29864000000000002</v>
      </c>
      <c r="N242" s="1">
        <v>301</v>
      </c>
      <c r="O242" s="12">
        <v>58</v>
      </c>
      <c r="P242" s="18" t="str">
        <f t="shared" si="13"/>
        <v>NIE</v>
      </c>
      <c r="Q242" s="15">
        <v>1.7471760000000001</v>
      </c>
      <c r="R242" s="1">
        <v>-0.865456</v>
      </c>
      <c r="S242" s="1">
        <v>0.298705</v>
      </c>
      <c r="T242" s="1">
        <v>781</v>
      </c>
      <c r="U242" s="1">
        <v>52</v>
      </c>
      <c r="V242" s="12">
        <v>52</v>
      </c>
      <c r="W242" s="18" t="str">
        <f t="shared" si="14"/>
        <v>NIE</v>
      </c>
    </row>
    <row r="243" spans="1:23" ht="15" thickBot="1" x14ac:dyDescent="0.35">
      <c r="A243" s="54"/>
      <c r="B243" s="39">
        <v>39</v>
      </c>
      <c r="C243" s="15">
        <v>0.774976</v>
      </c>
      <c r="D243" s="47">
        <v>0.14149500000000001</v>
      </c>
      <c r="E243" s="9">
        <v>1.7210000000000001E-3</v>
      </c>
      <c r="F243" s="1">
        <v>-4.1529999999999996E-3</v>
      </c>
      <c r="G243" s="1">
        <v>1.5999999999999999E-5</v>
      </c>
      <c r="H243" s="1">
        <v>376</v>
      </c>
      <c r="I243" s="12">
        <v>25</v>
      </c>
      <c r="J243" s="18" t="str">
        <f t="shared" si="12"/>
        <v>TAK</v>
      </c>
      <c r="K243" s="9">
        <v>4.7600000000000002E-4</v>
      </c>
      <c r="L243" s="9">
        <v>-4.86E-4</v>
      </c>
      <c r="M243" s="9">
        <v>0</v>
      </c>
      <c r="N243" s="1">
        <v>211</v>
      </c>
      <c r="O243" s="12">
        <v>40</v>
      </c>
      <c r="P243" s="18" t="str">
        <f t="shared" si="13"/>
        <v>TAK</v>
      </c>
      <c r="Q243" s="15">
        <v>1.0677559999999999</v>
      </c>
      <c r="R243" s="1">
        <v>-0.52742299999999998</v>
      </c>
      <c r="S243" s="1">
        <v>0.877386</v>
      </c>
      <c r="T243" s="1">
        <v>631</v>
      </c>
      <c r="U243" s="1">
        <v>42</v>
      </c>
      <c r="V243" s="12">
        <v>42</v>
      </c>
      <c r="W243" s="18" t="str">
        <f t="shared" si="14"/>
        <v>NIE</v>
      </c>
    </row>
    <row r="244" spans="1:23" ht="15" thickBot="1" x14ac:dyDescent="0.35">
      <c r="A244" s="54"/>
      <c r="B244" s="39">
        <v>40</v>
      </c>
      <c r="C244" s="15">
        <v>1.9628650000000001</v>
      </c>
      <c r="D244" s="47">
        <v>1.681322</v>
      </c>
      <c r="E244" s="9">
        <v>1.8749999999999999E-3</v>
      </c>
      <c r="F244" s="1">
        <v>-4.5250000000000004E-3</v>
      </c>
      <c r="G244" s="1">
        <v>1.9000000000000001E-5</v>
      </c>
      <c r="H244" s="1">
        <v>481</v>
      </c>
      <c r="I244" s="12">
        <v>32</v>
      </c>
      <c r="J244" s="18" t="str">
        <f t="shared" si="12"/>
        <v>TAK</v>
      </c>
      <c r="K244" s="9">
        <v>-5.5099999999999995E-4</v>
      </c>
      <c r="L244" s="9">
        <v>5.9800000000000001E-4</v>
      </c>
      <c r="M244" s="9">
        <v>9.9999999999999995E-7</v>
      </c>
      <c r="N244" s="1">
        <v>361</v>
      </c>
      <c r="O244" s="12">
        <v>70</v>
      </c>
      <c r="P244" s="18" t="str">
        <f t="shared" si="13"/>
        <v>TAK</v>
      </c>
      <c r="Q244" s="15">
        <v>1.748874</v>
      </c>
      <c r="R244" s="1">
        <v>-0.86521099999999995</v>
      </c>
      <c r="S244" s="1">
        <v>0.298734</v>
      </c>
      <c r="T244" s="1">
        <v>811</v>
      </c>
      <c r="U244" s="1">
        <v>54</v>
      </c>
      <c r="V244" s="12">
        <v>54</v>
      </c>
      <c r="W244" s="18" t="str">
        <f t="shared" si="14"/>
        <v>NIE</v>
      </c>
    </row>
    <row r="245" spans="1:23" ht="15" thickBot="1" x14ac:dyDescent="0.35">
      <c r="A245" s="54"/>
      <c r="B245" s="39">
        <v>41</v>
      </c>
      <c r="C245" s="15">
        <v>0.23552200000000001</v>
      </c>
      <c r="D245" s="47">
        <v>0.96948000000000001</v>
      </c>
      <c r="E245" s="9">
        <v>-1.7769999999999999E-3</v>
      </c>
      <c r="F245" s="1">
        <v>4.2890000000000003E-3</v>
      </c>
      <c r="G245" s="1">
        <v>1.7E-5</v>
      </c>
      <c r="H245" s="1">
        <v>451</v>
      </c>
      <c r="I245" s="12">
        <v>30</v>
      </c>
      <c r="J245" s="18" t="str">
        <f t="shared" si="12"/>
        <v>TAK</v>
      </c>
      <c r="K245" s="9">
        <v>-4.0000000000000002E-4</v>
      </c>
      <c r="L245" s="9">
        <v>1.108E-3</v>
      </c>
      <c r="M245" s="9">
        <v>9.9999999999999995E-7</v>
      </c>
      <c r="N245" s="1">
        <v>211</v>
      </c>
      <c r="O245" s="12">
        <v>40</v>
      </c>
      <c r="P245" s="18" t="str">
        <f t="shared" si="13"/>
        <v>TAK</v>
      </c>
      <c r="Q245" s="15">
        <v>1.936E-3</v>
      </c>
      <c r="R245" s="1">
        <v>8.7159999999999998E-3</v>
      </c>
      <c r="S245" s="1">
        <v>1E-4</v>
      </c>
      <c r="T245" s="1">
        <v>676</v>
      </c>
      <c r="U245" s="1">
        <v>45</v>
      </c>
      <c r="V245" s="12">
        <v>45</v>
      </c>
      <c r="W245" s="18" t="str">
        <f t="shared" si="14"/>
        <v>TAK</v>
      </c>
    </row>
    <row r="246" spans="1:23" ht="15" thickBot="1" x14ac:dyDescent="0.35">
      <c r="A246" s="54"/>
      <c r="B246" s="39">
        <v>42</v>
      </c>
      <c r="C246" s="15">
        <v>1.5729040000000001</v>
      </c>
      <c r="D246" s="47">
        <v>1.9402349999999999</v>
      </c>
      <c r="E246" s="9">
        <v>1.747155</v>
      </c>
      <c r="F246" s="1">
        <v>-0.86971200000000004</v>
      </c>
      <c r="G246" s="1">
        <v>0.29865399999999998</v>
      </c>
      <c r="H246" s="1">
        <v>526</v>
      </c>
      <c r="I246" s="12">
        <v>35</v>
      </c>
      <c r="J246" s="18" t="str">
        <f t="shared" si="12"/>
        <v>NIE</v>
      </c>
      <c r="K246" s="9" t="s">
        <v>23</v>
      </c>
      <c r="L246" s="9" t="e">
        <v>#NAME?</v>
      </c>
      <c r="M246" s="9" t="s">
        <v>23</v>
      </c>
      <c r="N246" s="1">
        <v>196</v>
      </c>
      <c r="O246" s="12">
        <v>37</v>
      </c>
      <c r="P246" s="18" t="e">
        <f t="shared" si="13"/>
        <v>#VALUE!</v>
      </c>
      <c r="Q246" s="15">
        <v>1.7472540000000001</v>
      </c>
      <c r="R246" s="1">
        <v>-0.86512</v>
      </c>
      <c r="S246" s="1">
        <v>0.298711</v>
      </c>
      <c r="T246" s="1">
        <v>826</v>
      </c>
      <c r="U246" s="1">
        <v>55</v>
      </c>
      <c r="V246" s="12">
        <v>55</v>
      </c>
      <c r="W246" s="18" t="str">
        <f t="shared" si="14"/>
        <v>NIE</v>
      </c>
    </row>
    <row r="247" spans="1:23" ht="15" thickBot="1" x14ac:dyDescent="0.35">
      <c r="A247" s="54"/>
      <c r="B247" s="39">
        <v>43</v>
      </c>
      <c r="C247" s="15">
        <v>9.2420000000000002E-3</v>
      </c>
      <c r="D247" s="47">
        <v>1.318945</v>
      </c>
      <c r="E247" s="9">
        <v>-1.926E-3</v>
      </c>
      <c r="F247" s="1">
        <v>4.6499999999999996E-3</v>
      </c>
      <c r="G247" s="1">
        <v>2.0000000000000002E-5</v>
      </c>
      <c r="H247" s="1">
        <v>481</v>
      </c>
      <c r="I247" s="12">
        <v>32</v>
      </c>
      <c r="J247" s="18" t="str">
        <f t="shared" si="12"/>
        <v>TAK</v>
      </c>
      <c r="K247" s="9">
        <v>-6.4599999999999998E-4</v>
      </c>
      <c r="L247" s="9">
        <v>1.4940000000000001E-3</v>
      </c>
      <c r="M247" s="9">
        <v>1.9999999999999999E-6</v>
      </c>
      <c r="N247" s="1">
        <v>211</v>
      </c>
      <c r="O247" s="12">
        <v>40</v>
      </c>
      <c r="P247" s="18" t="str">
        <f t="shared" si="13"/>
        <v>TAK</v>
      </c>
      <c r="Q247" s="15">
        <v>6.0000000000000002E-5</v>
      </c>
      <c r="R247" s="1">
        <v>8.5760000000000003E-3</v>
      </c>
      <c r="S247" s="1">
        <v>7.3999999999999996E-5</v>
      </c>
      <c r="T247" s="1">
        <v>721</v>
      </c>
      <c r="U247" s="1">
        <v>48</v>
      </c>
      <c r="V247" s="12">
        <v>48</v>
      </c>
      <c r="W247" s="18" t="str">
        <f t="shared" si="14"/>
        <v>TAK</v>
      </c>
    </row>
    <row r="248" spans="1:23" ht="15" thickBot="1" x14ac:dyDescent="0.35">
      <c r="A248" s="54"/>
      <c r="B248" s="39">
        <v>44</v>
      </c>
      <c r="C248" s="15">
        <v>1.291118</v>
      </c>
      <c r="D248" s="47">
        <v>0.74395199999999995</v>
      </c>
      <c r="E248" s="9">
        <v>1.7471449999999999</v>
      </c>
      <c r="F248" s="1">
        <v>-0.86960400000000004</v>
      </c>
      <c r="G248" s="1">
        <v>0.298655</v>
      </c>
      <c r="H248" s="1">
        <v>511</v>
      </c>
      <c r="I248" s="12">
        <v>34</v>
      </c>
      <c r="J248" s="18" t="str">
        <f t="shared" si="12"/>
        <v>NIE</v>
      </c>
      <c r="K248" s="9" t="s">
        <v>23</v>
      </c>
      <c r="L248" s="9" t="s">
        <v>23</v>
      </c>
      <c r="M248" s="9" t="s">
        <v>23</v>
      </c>
      <c r="N248" s="1">
        <v>196</v>
      </c>
      <c r="O248" s="12">
        <v>37</v>
      </c>
      <c r="P248" s="18" t="e">
        <f t="shared" si="13"/>
        <v>#VALUE!</v>
      </c>
      <c r="Q248" s="15">
        <v>1.0719129999999999</v>
      </c>
      <c r="R248" s="1">
        <v>-0.526922</v>
      </c>
      <c r="S248" s="1">
        <v>0.87743899999999997</v>
      </c>
      <c r="T248" s="1">
        <v>721</v>
      </c>
      <c r="U248" s="1">
        <v>48</v>
      </c>
      <c r="V248" s="12">
        <v>48</v>
      </c>
      <c r="W248" s="18" t="str">
        <f t="shared" si="14"/>
        <v>NIE</v>
      </c>
    </row>
    <row r="249" spans="1:23" ht="15" thickBot="1" x14ac:dyDescent="0.35">
      <c r="A249" s="54"/>
      <c r="B249" s="39">
        <v>45</v>
      </c>
      <c r="C249" s="15">
        <v>0.73153500000000005</v>
      </c>
      <c r="D249" s="47">
        <v>8.7489999999999998E-2</v>
      </c>
      <c r="E249" s="9">
        <v>1.7390000000000001E-3</v>
      </c>
      <c r="F249" s="1">
        <v>-4.1970000000000002E-3</v>
      </c>
      <c r="G249" s="1">
        <v>1.5999999999999999E-5</v>
      </c>
      <c r="H249" s="1">
        <v>376</v>
      </c>
      <c r="I249" s="12">
        <v>25</v>
      </c>
      <c r="J249" s="18" t="str">
        <f t="shared" si="12"/>
        <v>TAK</v>
      </c>
      <c r="K249" s="9">
        <v>4.3100000000000001E-4</v>
      </c>
      <c r="L249" s="9">
        <v>-4.6500000000000003E-4</v>
      </c>
      <c r="M249" s="9">
        <v>0</v>
      </c>
      <c r="N249" s="1">
        <v>211</v>
      </c>
      <c r="O249" s="12">
        <v>40</v>
      </c>
      <c r="P249" s="18" t="str">
        <f t="shared" si="13"/>
        <v>TAK</v>
      </c>
      <c r="Q249" s="15">
        <v>1.0672330000000001</v>
      </c>
      <c r="R249" s="1">
        <v>-0.527474</v>
      </c>
      <c r="S249" s="1">
        <v>0.87737500000000002</v>
      </c>
      <c r="T249" s="1">
        <v>616</v>
      </c>
      <c r="U249" s="1">
        <v>41</v>
      </c>
      <c r="V249" s="12">
        <v>41</v>
      </c>
      <c r="W249" s="18" t="str">
        <f t="shared" si="14"/>
        <v>NIE</v>
      </c>
    </row>
    <row r="250" spans="1:23" ht="15" thickBot="1" x14ac:dyDescent="0.35">
      <c r="A250" s="54"/>
      <c r="B250" s="39">
        <v>46</v>
      </c>
      <c r="C250" s="15">
        <v>1.350913</v>
      </c>
      <c r="D250" s="47">
        <v>1.9675739999999999</v>
      </c>
      <c r="E250" s="9">
        <v>-1.75E-3</v>
      </c>
      <c r="F250" s="1">
        <v>4.4050000000000001E-3</v>
      </c>
      <c r="G250" s="1">
        <v>1.8E-5</v>
      </c>
      <c r="H250" s="1">
        <v>316</v>
      </c>
      <c r="I250" s="12">
        <v>21</v>
      </c>
      <c r="J250" s="18" t="str">
        <f t="shared" si="12"/>
        <v>TAK</v>
      </c>
      <c r="K250" s="9">
        <v>3.79E-4</v>
      </c>
      <c r="L250" s="9">
        <v>-2.5900000000000001E-4</v>
      </c>
      <c r="M250" s="9">
        <v>0</v>
      </c>
      <c r="N250" s="1">
        <v>271</v>
      </c>
      <c r="O250" s="12">
        <v>52</v>
      </c>
      <c r="P250" s="18" t="str">
        <f t="shared" si="13"/>
        <v>TAK</v>
      </c>
      <c r="Q250" s="15">
        <v>1.071412</v>
      </c>
      <c r="R250" s="1">
        <v>-0.52654800000000002</v>
      </c>
      <c r="S250" s="1">
        <v>0.877444</v>
      </c>
      <c r="T250" s="1">
        <v>811</v>
      </c>
      <c r="U250" s="1">
        <v>54</v>
      </c>
      <c r="V250" s="12">
        <v>54</v>
      </c>
      <c r="W250" s="18" t="str">
        <f t="shared" si="14"/>
        <v>NIE</v>
      </c>
    </row>
    <row r="251" spans="1:23" ht="15" thickBot="1" x14ac:dyDescent="0.35">
      <c r="A251" s="54"/>
      <c r="B251" s="39">
        <v>47</v>
      </c>
      <c r="C251" s="15">
        <v>0.76397700000000002</v>
      </c>
      <c r="D251" s="47">
        <v>1.089801</v>
      </c>
      <c r="E251" s="9">
        <v>-1.887E-3</v>
      </c>
      <c r="F251" s="1">
        <v>4.5560000000000002E-3</v>
      </c>
      <c r="G251" s="1">
        <v>1.9000000000000001E-5</v>
      </c>
      <c r="H251" s="1">
        <v>421</v>
      </c>
      <c r="I251" s="12">
        <v>28</v>
      </c>
      <c r="J251" s="18" t="str">
        <f t="shared" si="12"/>
        <v>TAK</v>
      </c>
      <c r="K251" s="9">
        <v>-1.3799999999999999E-4</v>
      </c>
      <c r="L251" s="9">
        <v>9.6299999999999999E-4</v>
      </c>
      <c r="M251" s="9">
        <v>9.9999999999999995E-7</v>
      </c>
      <c r="N251" s="1">
        <v>211</v>
      </c>
      <c r="O251" s="12">
        <v>40</v>
      </c>
      <c r="P251" s="18" t="str">
        <f t="shared" si="13"/>
        <v>TAK</v>
      </c>
      <c r="Q251" s="15">
        <v>1.069315</v>
      </c>
      <c r="R251" s="1">
        <v>-0.52689900000000001</v>
      </c>
      <c r="S251" s="1">
        <v>0.87741800000000003</v>
      </c>
      <c r="T251" s="1">
        <v>751</v>
      </c>
      <c r="U251" s="1">
        <v>50</v>
      </c>
      <c r="V251" s="12">
        <v>50</v>
      </c>
      <c r="W251" s="18" t="str">
        <f t="shared" si="14"/>
        <v>NIE</v>
      </c>
    </row>
    <row r="252" spans="1:23" ht="15" thickBot="1" x14ac:dyDescent="0.35">
      <c r="A252" s="54"/>
      <c r="B252" s="39">
        <v>48</v>
      </c>
      <c r="C252" s="15">
        <v>0.192798</v>
      </c>
      <c r="D252" s="47">
        <v>0.46602500000000002</v>
      </c>
      <c r="E252" s="9">
        <v>-1.851E-3</v>
      </c>
      <c r="F252" s="1">
        <v>4.4679999999999997E-3</v>
      </c>
      <c r="G252" s="1">
        <v>1.9000000000000001E-5</v>
      </c>
      <c r="H252" s="1">
        <v>376</v>
      </c>
      <c r="I252" s="12">
        <v>25</v>
      </c>
      <c r="J252" s="18" t="str">
        <f t="shared" si="12"/>
        <v>TAK</v>
      </c>
      <c r="K252" s="9">
        <v>-1.3100000000000001E-4</v>
      </c>
      <c r="L252" s="9">
        <v>8.8400000000000002E-4</v>
      </c>
      <c r="M252" s="9">
        <v>9.9999999999999995E-7</v>
      </c>
      <c r="N252" s="1">
        <v>196</v>
      </c>
      <c r="O252" s="12">
        <v>37</v>
      </c>
      <c r="P252" s="18" t="str">
        <f t="shared" si="13"/>
        <v>TAK</v>
      </c>
      <c r="Q252" s="15">
        <v>3.0560000000000001E-3</v>
      </c>
      <c r="R252" s="1">
        <v>7.8729999999999998E-3</v>
      </c>
      <c r="S252" s="1">
        <v>1.05E-4</v>
      </c>
      <c r="T252" s="1">
        <v>586</v>
      </c>
      <c r="U252" s="1">
        <v>39</v>
      </c>
      <c r="V252" s="12">
        <v>39</v>
      </c>
      <c r="W252" s="18" t="str">
        <f t="shared" si="14"/>
        <v>TAK</v>
      </c>
    </row>
    <row r="253" spans="1:23" ht="15" thickBot="1" x14ac:dyDescent="0.35">
      <c r="A253" s="54"/>
      <c r="B253" s="39">
        <v>49</v>
      </c>
      <c r="C253" s="15">
        <v>0.96743999999999997</v>
      </c>
      <c r="D253" s="47">
        <v>0.48675600000000002</v>
      </c>
      <c r="E253" s="9">
        <v>1.8060000000000001E-3</v>
      </c>
      <c r="F253" s="1">
        <v>-4.352E-3</v>
      </c>
      <c r="G253" s="1">
        <v>1.8E-5</v>
      </c>
      <c r="H253" s="1">
        <v>361</v>
      </c>
      <c r="I253" s="12">
        <v>24</v>
      </c>
      <c r="J253" s="18" t="str">
        <f t="shared" si="12"/>
        <v>TAK</v>
      </c>
      <c r="K253" s="9">
        <v>-2.0999999999999999E-5</v>
      </c>
      <c r="L253" s="9">
        <v>4.5800000000000002E-4</v>
      </c>
      <c r="M253" s="9">
        <v>0</v>
      </c>
      <c r="N253" s="1">
        <v>241</v>
      </c>
      <c r="O253" s="12">
        <v>46</v>
      </c>
      <c r="P253" s="18" t="str">
        <f t="shared" si="13"/>
        <v>TAK</v>
      </c>
      <c r="Q253" s="15">
        <v>1.0697570000000001</v>
      </c>
      <c r="R253" s="1">
        <v>-0.52709499999999998</v>
      </c>
      <c r="S253" s="1">
        <v>0.87742100000000001</v>
      </c>
      <c r="T253" s="1">
        <v>691</v>
      </c>
      <c r="U253" s="1">
        <v>46</v>
      </c>
      <c r="V253" s="12">
        <v>46</v>
      </c>
      <c r="W253" s="18" t="str">
        <f t="shared" si="14"/>
        <v>NIE</v>
      </c>
    </row>
    <row r="254" spans="1:23" ht="15" thickBot="1" x14ac:dyDescent="0.35">
      <c r="A254" s="54"/>
      <c r="B254" s="39">
        <v>50</v>
      </c>
      <c r="C254" s="15">
        <v>0.76249900000000004</v>
      </c>
      <c r="D254" s="47">
        <v>5.7743999999999997E-2</v>
      </c>
      <c r="E254" s="9">
        <v>1.7539999999999999E-3</v>
      </c>
      <c r="F254" s="1">
        <v>-4.2329999999999998E-3</v>
      </c>
      <c r="G254" s="1">
        <v>1.7E-5</v>
      </c>
      <c r="H254" s="1">
        <v>391</v>
      </c>
      <c r="I254" s="12">
        <v>26</v>
      </c>
      <c r="J254" s="18" t="str">
        <f t="shared" si="12"/>
        <v>TAK</v>
      </c>
      <c r="K254" s="9">
        <v>8.7299999999999997E-4</v>
      </c>
      <c r="L254" s="9">
        <v>-9.5399999999999999E-4</v>
      </c>
      <c r="M254" s="9">
        <v>1.9999999999999999E-6</v>
      </c>
      <c r="N254" s="1">
        <v>196</v>
      </c>
      <c r="O254" s="12">
        <v>37</v>
      </c>
      <c r="P254" s="18" t="str">
        <f t="shared" si="13"/>
        <v>TAK</v>
      </c>
      <c r="Q254" s="15">
        <v>1.067377</v>
      </c>
      <c r="R254" s="1">
        <v>-0.52773999999999999</v>
      </c>
      <c r="S254" s="1">
        <v>0.87737500000000002</v>
      </c>
      <c r="T254" s="1">
        <v>616</v>
      </c>
      <c r="U254" s="1">
        <v>41</v>
      </c>
      <c r="V254" s="12">
        <v>41</v>
      </c>
      <c r="W254" s="18" t="str">
        <f t="shared" si="14"/>
        <v>NIE</v>
      </c>
    </row>
    <row r="255" spans="1:23" ht="15" thickBot="1" x14ac:dyDescent="0.35">
      <c r="A255" s="54"/>
      <c r="B255" s="39">
        <v>51</v>
      </c>
      <c r="C255" s="15">
        <v>0.165934</v>
      </c>
      <c r="D255" s="47">
        <v>0.389044</v>
      </c>
      <c r="E255" s="9">
        <v>-1.8240000000000001E-3</v>
      </c>
      <c r="F255" s="1">
        <v>4.4050000000000001E-3</v>
      </c>
      <c r="G255" s="1">
        <v>1.8E-5</v>
      </c>
      <c r="H255" s="1">
        <v>361</v>
      </c>
      <c r="I255" s="12">
        <v>24</v>
      </c>
      <c r="J255" s="18" t="str">
        <f t="shared" si="12"/>
        <v>TAK</v>
      </c>
      <c r="K255" s="9">
        <v>-1.08E-4</v>
      </c>
      <c r="L255" s="9">
        <v>7.4100000000000001E-4</v>
      </c>
      <c r="M255" s="9">
        <v>0</v>
      </c>
      <c r="N255" s="1">
        <v>196</v>
      </c>
      <c r="O255" s="12">
        <v>37</v>
      </c>
      <c r="P255" s="18" t="str">
        <f t="shared" si="13"/>
        <v>TAK</v>
      </c>
      <c r="Q255" s="15">
        <v>3.29E-3</v>
      </c>
      <c r="R255" s="1">
        <v>8.0870000000000004E-3</v>
      </c>
      <c r="S255" s="1">
        <v>1.1400000000000001E-4</v>
      </c>
      <c r="T255" s="1">
        <v>556</v>
      </c>
      <c r="U255" s="1">
        <v>37</v>
      </c>
      <c r="V255" s="12">
        <v>37</v>
      </c>
      <c r="W255" s="18" t="str">
        <f t="shared" si="14"/>
        <v>TAK</v>
      </c>
    </row>
    <row r="256" spans="1:23" ht="15" thickBot="1" x14ac:dyDescent="0.35">
      <c r="A256" s="54"/>
      <c r="B256" s="39">
        <v>52</v>
      </c>
      <c r="C256" s="15">
        <v>0.95402600000000004</v>
      </c>
      <c r="D256" s="47">
        <v>0.71313099999999996</v>
      </c>
      <c r="E256" s="9">
        <v>1.279E-3</v>
      </c>
      <c r="F256" s="1">
        <v>-7.1000000000000002E-4</v>
      </c>
      <c r="G256" s="1">
        <v>3.0000000000000001E-6</v>
      </c>
      <c r="H256" s="1">
        <v>211</v>
      </c>
      <c r="I256" s="12">
        <v>14</v>
      </c>
      <c r="J256" s="18" t="str">
        <f t="shared" si="12"/>
        <v>TAK</v>
      </c>
      <c r="K256" s="9">
        <v>9.9200000000000004E-4</v>
      </c>
      <c r="L256" s="9">
        <v>-1.402E-3</v>
      </c>
      <c r="M256" s="9">
        <v>3.0000000000000001E-6</v>
      </c>
      <c r="N256" s="1">
        <v>196</v>
      </c>
      <c r="O256" s="12">
        <v>37</v>
      </c>
      <c r="P256" s="18" t="str">
        <f t="shared" si="13"/>
        <v>TAK</v>
      </c>
      <c r="Q256" s="15">
        <v>1.0697509999999999</v>
      </c>
      <c r="R256" s="1">
        <v>-0.526281</v>
      </c>
      <c r="S256" s="1">
        <v>0.87743400000000005</v>
      </c>
      <c r="T256" s="1">
        <v>706</v>
      </c>
      <c r="U256" s="1">
        <v>47</v>
      </c>
      <c r="V256" s="12">
        <v>47</v>
      </c>
      <c r="W256" s="18" t="str">
        <f t="shared" si="14"/>
        <v>NIE</v>
      </c>
    </row>
    <row r="257" spans="1:23" ht="15" thickBot="1" x14ac:dyDescent="0.35">
      <c r="A257" s="54"/>
      <c r="B257" s="39">
        <v>53</v>
      </c>
      <c r="C257" s="15">
        <v>1.991241</v>
      </c>
      <c r="D257" s="47">
        <v>1.0919160000000001</v>
      </c>
      <c r="E257" s="9">
        <v>1.7471939999999999</v>
      </c>
      <c r="F257" s="1">
        <v>-0.87010799999999999</v>
      </c>
      <c r="G257" s="1">
        <v>0.298651</v>
      </c>
      <c r="H257" s="1">
        <v>586</v>
      </c>
      <c r="I257" s="12">
        <v>39</v>
      </c>
      <c r="J257" s="18" t="str">
        <f t="shared" si="12"/>
        <v>NIE</v>
      </c>
      <c r="K257" s="9" t="s">
        <v>23</v>
      </c>
      <c r="L257" s="9" t="e">
        <v>#NAME?</v>
      </c>
      <c r="M257" s="9" t="s">
        <v>23</v>
      </c>
      <c r="N257" s="1">
        <v>181</v>
      </c>
      <c r="O257" s="12">
        <v>34</v>
      </c>
      <c r="P257" s="18" t="e">
        <f t="shared" si="13"/>
        <v>#VALUE!</v>
      </c>
      <c r="Q257" s="15">
        <v>1.7495229999999999</v>
      </c>
      <c r="R257" s="1">
        <v>-0.86584000000000005</v>
      </c>
      <c r="S257" s="1">
        <v>0.29874099999999998</v>
      </c>
      <c r="T257" s="1">
        <v>781</v>
      </c>
      <c r="U257" s="1">
        <v>52</v>
      </c>
      <c r="V257" s="12">
        <v>52</v>
      </c>
      <c r="W257" s="18" t="str">
        <f t="shared" si="14"/>
        <v>NIE</v>
      </c>
    </row>
    <row r="258" spans="1:23" ht="15" thickBot="1" x14ac:dyDescent="0.35">
      <c r="A258" s="54"/>
      <c r="B258" s="39">
        <v>54</v>
      </c>
      <c r="C258" s="15">
        <v>1.4728950000000001</v>
      </c>
      <c r="D258" s="47">
        <v>1.488745</v>
      </c>
      <c r="E258" s="9">
        <v>1.747142</v>
      </c>
      <c r="F258" s="1">
        <v>-0.86957499999999999</v>
      </c>
      <c r="G258" s="1">
        <v>0.298655</v>
      </c>
      <c r="H258" s="1">
        <v>481</v>
      </c>
      <c r="I258" s="12">
        <v>32</v>
      </c>
      <c r="J258" s="18" t="str">
        <f t="shared" si="12"/>
        <v>NIE</v>
      </c>
      <c r="K258" s="9" t="s">
        <v>23</v>
      </c>
      <c r="L258" s="9" t="s">
        <v>23</v>
      </c>
      <c r="M258" s="9" t="s">
        <v>23</v>
      </c>
      <c r="N258" s="1">
        <v>181</v>
      </c>
      <c r="O258" s="12">
        <v>34</v>
      </c>
      <c r="P258" s="18" t="e">
        <f t="shared" si="13"/>
        <v>#VALUE!</v>
      </c>
      <c r="Q258" s="15">
        <v>1.07039</v>
      </c>
      <c r="R258" s="1">
        <v>-0.52663199999999999</v>
      </c>
      <c r="S258" s="1">
        <v>0.87743499999999996</v>
      </c>
      <c r="T258" s="1">
        <v>796</v>
      </c>
      <c r="U258" s="1">
        <v>53</v>
      </c>
      <c r="V258" s="12">
        <v>53</v>
      </c>
      <c r="W258" s="18" t="str">
        <f t="shared" si="14"/>
        <v>NIE</v>
      </c>
    </row>
    <row r="259" spans="1:23" ht="15" thickBot="1" x14ac:dyDescent="0.35">
      <c r="A259" s="54"/>
      <c r="B259" s="39">
        <v>55</v>
      </c>
      <c r="C259" s="15">
        <v>0.72568500000000002</v>
      </c>
      <c r="D259" s="47">
        <v>1.0142580000000001</v>
      </c>
      <c r="E259" s="9">
        <v>-1.7669999999999999E-3</v>
      </c>
      <c r="F259" s="1">
        <v>4.2659999999999998E-3</v>
      </c>
      <c r="G259" s="1">
        <v>1.7E-5</v>
      </c>
      <c r="H259" s="1">
        <v>421</v>
      </c>
      <c r="I259" s="12">
        <v>28</v>
      </c>
      <c r="J259" s="18" t="str">
        <f t="shared" si="12"/>
        <v>TAK</v>
      </c>
      <c r="K259" s="9">
        <v>-1.36E-4</v>
      </c>
      <c r="L259" s="9">
        <v>9.1600000000000004E-4</v>
      </c>
      <c r="M259" s="9">
        <v>9.9999999999999995E-7</v>
      </c>
      <c r="N259" s="1">
        <v>211</v>
      </c>
      <c r="O259" s="12">
        <v>40</v>
      </c>
      <c r="P259" s="18" t="str">
        <f t="shared" si="13"/>
        <v>TAK</v>
      </c>
      <c r="Q259" s="15">
        <v>1.0691040000000001</v>
      </c>
      <c r="R259" s="1">
        <v>-0.52649000000000001</v>
      </c>
      <c r="S259" s="1">
        <v>0.87742200000000004</v>
      </c>
      <c r="T259" s="1">
        <v>736</v>
      </c>
      <c r="U259" s="1">
        <v>49</v>
      </c>
      <c r="V259" s="12">
        <v>49</v>
      </c>
      <c r="W259" s="18" t="str">
        <f t="shared" si="14"/>
        <v>NIE</v>
      </c>
    </row>
    <row r="260" spans="1:23" ht="15" thickBot="1" x14ac:dyDescent="0.35">
      <c r="A260" s="54"/>
      <c r="B260" s="39">
        <v>56</v>
      </c>
      <c r="C260" s="15">
        <v>1.6126450000000001</v>
      </c>
      <c r="D260" s="47">
        <v>1.632012</v>
      </c>
      <c r="E260" s="9">
        <v>1.747204</v>
      </c>
      <c r="F260" s="1">
        <v>-0.87021099999999996</v>
      </c>
      <c r="G260" s="1">
        <v>0.298651</v>
      </c>
      <c r="H260" s="1">
        <v>481</v>
      </c>
      <c r="I260" s="12">
        <v>32</v>
      </c>
      <c r="J260" s="18" t="str">
        <f t="shared" si="12"/>
        <v>NIE</v>
      </c>
      <c r="K260" s="9" t="s">
        <v>23</v>
      </c>
      <c r="L260" s="9" t="s">
        <v>23</v>
      </c>
      <c r="M260" s="9" t="s">
        <v>23</v>
      </c>
      <c r="N260" s="1">
        <v>181</v>
      </c>
      <c r="O260" s="12">
        <v>34</v>
      </c>
      <c r="P260" s="18" t="e">
        <f t="shared" si="13"/>
        <v>#VALUE!</v>
      </c>
      <c r="Q260" s="15">
        <v>1.7472529999999999</v>
      </c>
      <c r="R260" s="1">
        <v>-0.865178</v>
      </c>
      <c r="S260" s="1">
        <v>0.29870999999999998</v>
      </c>
      <c r="T260" s="1">
        <v>811</v>
      </c>
      <c r="U260" s="1">
        <v>54</v>
      </c>
      <c r="V260" s="12">
        <v>54</v>
      </c>
      <c r="W260" s="18" t="str">
        <f t="shared" si="14"/>
        <v>NIE</v>
      </c>
    </row>
    <row r="261" spans="1:23" ht="15" thickBot="1" x14ac:dyDescent="0.35">
      <c r="A261" s="54"/>
      <c r="B261" s="39">
        <v>57</v>
      </c>
      <c r="C261" s="15">
        <v>1.958915</v>
      </c>
      <c r="D261" s="47">
        <v>1.468658</v>
      </c>
      <c r="E261" s="9">
        <v>1.8090000000000001E-3</v>
      </c>
      <c r="F261" s="1">
        <v>-4.3660000000000001E-3</v>
      </c>
      <c r="G261" s="1">
        <v>1.8E-5</v>
      </c>
      <c r="H261" s="1">
        <v>586</v>
      </c>
      <c r="I261" s="12">
        <v>39</v>
      </c>
      <c r="J261" s="18" t="str">
        <f t="shared" ref="J261:J304" si="30">IF(ABS(G261) &lt; 0.01,"TAK","NIE")</f>
        <v>TAK</v>
      </c>
      <c r="K261" s="9" t="s">
        <v>23</v>
      </c>
      <c r="L261" s="9" t="s">
        <v>23</v>
      </c>
      <c r="M261" s="9" t="s">
        <v>23</v>
      </c>
      <c r="N261" s="1">
        <v>211</v>
      </c>
      <c r="O261" s="12">
        <v>40</v>
      </c>
      <c r="P261" s="18" t="e">
        <f t="shared" ref="P261:P304" si="31">IF(ABS(M261) &lt; 0.01,"TAK","NIE")</f>
        <v>#VALUE!</v>
      </c>
      <c r="Q261" s="15">
        <v>1.7489790000000001</v>
      </c>
      <c r="R261" s="1">
        <v>-0.86506899999999998</v>
      </c>
      <c r="S261" s="1">
        <v>0.29873899999999998</v>
      </c>
      <c r="T261" s="1">
        <v>796</v>
      </c>
      <c r="U261" s="1">
        <v>53</v>
      </c>
      <c r="V261" s="12">
        <v>53</v>
      </c>
      <c r="W261" s="18" t="str">
        <f t="shared" si="14"/>
        <v>NIE</v>
      </c>
    </row>
    <row r="262" spans="1:23" ht="15" thickBot="1" x14ac:dyDescent="0.35">
      <c r="A262" s="54"/>
      <c r="B262" s="39">
        <v>58</v>
      </c>
      <c r="C262" s="15">
        <v>0.85497100000000004</v>
      </c>
      <c r="D262" s="47">
        <v>0.24076400000000001</v>
      </c>
      <c r="E262" s="9">
        <v>1.7780000000000001E-3</v>
      </c>
      <c r="F262" s="1">
        <v>-4.2890000000000003E-3</v>
      </c>
      <c r="G262" s="1">
        <v>1.7E-5</v>
      </c>
      <c r="H262" s="1">
        <v>376</v>
      </c>
      <c r="I262" s="12">
        <v>25</v>
      </c>
      <c r="J262" s="18" t="str">
        <f t="shared" si="30"/>
        <v>TAK</v>
      </c>
      <c r="K262" s="9">
        <v>3.9199999999999999E-4</v>
      </c>
      <c r="L262" s="9">
        <v>-1.0740000000000001E-3</v>
      </c>
      <c r="M262" s="9">
        <v>9.9999999999999995E-7</v>
      </c>
      <c r="N262" s="1">
        <v>181</v>
      </c>
      <c r="O262" s="12">
        <v>34</v>
      </c>
      <c r="P262" s="18" t="str">
        <f t="shared" si="31"/>
        <v>TAK</v>
      </c>
      <c r="Q262" s="15">
        <v>1.0685119999999999</v>
      </c>
      <c r="R262" s="1">
        <v>-0.52691399999999999</v>
      </c>
      <c r="S262" s="1">
        <v>0.87740600000000002</v>
      </c>
      <c r="T262" s="1">
        <v>646</v>
      </c>
      <c r="U262" s="1">
        <v>43</v>
      </c>
      <c r="V262" s="12">
        <v>43</v>
      </c>
      <c r="W262" s="18" t="str">
        <f t="shared" ref="W262:W304" si="32">IF(ABS(S262) &lt; 0.01,"TAK","NIE")</f>
        <v>NIE</v>
      </c>
    </row>
    <row r="263" spans="1:23" ht="15" thickBot="1" x14ac:dyDescent="0.35">
      <c r="A263" s="54"/>
      <c r="B263" s="39">
        <v>59</v>
      </c>
      <c r="C263" s="15">
        <v>1.2980039999999999</v>
      </c>
      <c r="D263" s="47">
        <v>0.518123</v>
      </c>
      <c r="E263" s="9">
        <v>1.7471699999999999</v>
      </c>
      <c r="F263" s="1">
        <v>-0.86985800000000002</v>
      </c>
      <c r="G263" s="1">
        <v>0.298653</v>
      </c>
      <c r="H263" s="1">
        <v>451</v>
      </c>
      <c r="I263" s="12">
        <v>30</v>
      </c>
      <c r="J263" s="18" t="str">
        <f t="shared" si="30"/>
        <v>NIE</v>
      </c>
      <c r="K263" s="9" t="s">
        <v>23</v>
      </c>
      <c r="L263" s="9" t="e">
        <v>#NAME?</v>
      </c>
      <c r="M263" s="9" t="s">
        <v>23</v>
      </c>
      <c r="N263" s="1">
        <v>151</v>
      </c>
      <c r="O263" s="12">
        <v>28</v>
      </c>
      <c r="P263" s="18" t="e">
        <f t="shared" si="31"/>
        <v>#VALUE!</v>
      </c>
      <c r="Q263" s="15">
        <v>1.0722750000000001</v>
      </c>
      <c r="R263" s="1">
        <v>-0.52677700000000005</v>
      </c>
      <c r="S263" s="1">
        <v>0.87744299999999997</v>
      </c>
      <c r="T263" s="1">
        <v>691</v>
      </c>
      <c r="U263" s="1">
        <v>46</v>
      </c>
      <c r="V263" s="12">
        <v>46</v>
      </c>
      <c r="W263" s="18" t="str">
        <f t="shared" si="32"/>
        <v>NIE</v>
      </c>
    </row>
    <row r="264" spans="1:23" ht="15" thickBot="1" x14ac:dyDescent="0.35">
      <c r="A264" s="54"/>
      <c r="B264" s="39">
        <v>60</v>
      </c>
      <c r="C264" s="15">
        <v>1.3302620000000001</v>
      </c>
      <c r="D264" s="47">
        <v>0.30052899999999999</v>
      </c>
      <c r="E264" s="9">
        <v>1.7471429999999999</v>
      </c>
      <c r="F264" s="1">
        <v>-0.869587</v>
      </c>
      <c r="G264" s="1">
        <v>0.298655</v>
      </c>
      <c r="H264" s="1">
        <v>421</v>
      </c>
      <c r="I264" s="12">
        <v>28</v>
      </c>
      <c r="J264" s="18" t="str">
        <f t="shared" si="30"/>
        <v>NIE</v>
      </c>
      <c r="K264" s="9" t="s">
        <v>23</v>
      </c>
      <c r="L264" s="9" t="s">
        <v>23</v>
      </c>
      <c r="M264" s="9" t="s">
        <v>23</v>
      </c>
      <c r="N264" s="1">
        <v>166</v>
      </c>
      <c r="O264" s="12">
        <v>31</v>
      </c>
      <c r="P264" s="18" t="e">
        <f t="shared" si="31"/>
        <v>#VALUE!</v>
      </c>
      <c r="Q264" s="15">
        <v>1.0729029999999999</v>
      </c>
      <c r="R264" s="1">
        <v>-0.52689900000000001</v>
      </c>
      <c r="S264" s="1">
        <v>0.87744100000000003</v>
      </c>
      <c r="T264" s="1">
        <v>661</v>
      </c>
      <c r="U264" s="1">
        <v>44</v>
      </c>
      <c r="V264" s="12">
        <v>44</v>
      </c>
      <c r="W264" s="18" t="str">
        <f t="shared" si="32"/>
        <v>NIE</v>
      </c>
    </row>
    <row r="265" spans="1:23" ht="15" thickBot="1" x14ac:dyDescent="0.35">
      <c r="A265" s="54"/>
      <c r="B265" s="39">
        <v>61</v>
      </c>
      <c r="C265" s="15">
        <v>1.4772879999999999</v>
      </c>
      <c r="D265" s="47">
        <v>0.38446799999999998</v>
      </c>
      <c r="E265" s="9">
        <v>1.747177</v>
      </c>
      <c r="F265" s="1">
        <v>-0.86993699999999996</v>
      </c>
      <c r="G265" s="1">
        <v>0.298653</v>
      </c>
      <c r="H265" s="1">
        <v>421</v>
      </c>
      <c r="I265" s="12">
        <v>28</v>
      </c>
      <c r="J265" s="18" t="str">
        <f t="shared" si="30"/>
        <v>NIE</v>
      </c>
      <c r="K265" s="9">
        <v>1.747476</v>
      </c>
      <c r="L265" s="9">
        <v>-0.87250000000000005</v>
      </c>
      <c r="M265" s="9">
        <v>0.29864000000000002</v>
      </c>
      <c r="N265" s="1">
        <v>196</v>
      </c>
      <c r="O265" s="12">
        <v>37</v>
      </c>
      <c r="P265" s="18" t="str">
        <f t="shared" si="31"/>
        <v>NIE</v>
      </c>
      <c r="Q265" s="15">
        <v>1.068837</v>
      </c>
      <c r="R265" s="1">
        <v>-0.52711600000000003</v>
      </c>
      <c r="S265" s="1">
        <v>0.87740899999999999</v>
      </c>
      <c r="T265" s="1">
        <v>721</v>
      </c>
      <c r="U265" s="1">
        <v>48</v>
      </c>
      <c r="V265" s="12">
        <v>48</v>
      </c>
      <c r="W265" s="18" t="str">
        <f t="shared" si="32"/>
        <v>NIE</v>
      </c>
    </row>
    <row r="266" spans="1:23" ht="15" thickBot="1" x14ac:dyDescent="0.35">
      <c r="A266" s="54"/>
      <c r="B266" s="39">
        <v>62</v>
      </c>
      <c r="C266" s="15">
        <v>1.414444</v>
      </c>
      <c r="D266" s="47">
        <v>0.145838</v>
      </c>
      <c r="E266" s="9">
        <v>1.7471620000000001</v>
      </c>
      <c r="F266" s="1">
        <v>-0.86978</v>
      </c>
      <c r="G266" s="1">
        <v>0.29865399999999998</v>
      </c>
      <c r="H266" s="1">
        <v>406</v>
      </c>
      <c r="I266" s="12">
        <v>27</v>
      </c>
      <c r="J266" s="18" t="str">
        <f t="shared" si="30"/>
        <v>NIE</v>
      </c>
      <c r="K266" s="9">
        <v>1.747404</v>
      </c>
      <c r="L266" s="9">
        <v>-0.87287599999999999</v>
      </c>
      <c r="M266" s="9">
        <v>0.29863899999999999</v>
      </c>
      <c r="N266" s="1">
        <v>166</v>
      </c>
      <c r="O266" s="12">
        <v>31</v>
      </c>
      <c r="P266" s="18" t="str">
        <f t="shared" si="31"/>
        <v>NIE</v>
      </c>
      <c r="Q266" s="15">
        <v>1.0735250000000001</v>
      </c>
      <c r="R266" s="1">
        <v>-0.52739000000000003</v>
      </c>
      <c r="S266" s="1">
        <v>0.87743000000000004</v>
      </c>
      <c r="T266" s="1">
        <v>646</v>
      </c>
      <c r="U266" s="1">
        <v>43</v>
      </c>
      <c r="V266" s="12">
        <v>43</v>
      </c>
      <c r="W266" s="18" t="str">
        <f t="shared" si="32"/>
        <v>NIE</v>
      </c>
    </row>
    <row r="267" spans="1:23" ht="15" thickBot="1" x14ac:dyDescent="0.35">
      <c r="A267" s="54"/>
      <c r="B267" s="39">
        <v>63</v>
      </c>
      <c r="C267" s="15">
        <v>1.4882649999999999</v>
      </c>
      <c r="D267" s="47">
        <v>0.72446600000000005</v>
      </c>
      <c r="E267" s="9">
        <v>1.7471620000000001</v>
      </c>
      <c r="F267" s="1">
        <v>-0.86978</v>
      </c>
      <c r="G267" s="1">
        <v>0.29865399999999998</v>
      </c>
      <c r="H267" s="1">
        <v>436</v>
      </c>
      <c r="I267" s="12">
        <v>29</v>
      </c>
      <c r="J267" s="18" t="str">
        <f t="shared" si="30"/>
        <v>NIE</v>
      </c>
      <c r="K267" s="9">
        <v>1.7472179999999999</v>
      </c>
      <c r="L267" s="9">
        <v>-0.87202999999999997</v>
      </c>
      <c r="M267" s="9">
        <v>0.29864200000000002</v>
      </c>
      <c r="N267" s="1">
        <v>181</v>
      </c>
      <c r="O267" s="12">
        <v>34</v>
      </c>
      <c r="P267" s="18" t="str">
        <f t="shared" si="31"/>
        <v>NIE</v>
      </c>
      <c r="Q267" s="15">
        <v>1.7557689999999999</v>
      </c>
      <c r="R267" s="1">
        <v>-0.87568599999999996</v>
      </c>
      <c r="S267" s="1">
        <v>0.299043</v>
      </c>
      <c r="T267" s="1">
        <v>931</v>
      </c>
      <c r="U267" s="1">
        <v>62</v>
      </c>
      <c r="V267" s="12">
        <v>62</v>
      </c>
      <c r="W267" s="18" t="str">
        <f t="shared" si="32"/>
        <v>NIE</v>
      </c>
    </row>
    <row r="268" spans="1:23" ht="15" thickBot="1" x14ac:dyDescent="0.35">
      <c r="A268" s="54"/>
      <c r="B268" s="39">
        <v>64</v>
      </c>
      <c r="C268" s="15">
        <v>1.3808720000000001</v>
      </c>
      <c r="D268" s="47">
        <v>0.121821</v>
      </c>
      <c r="E268" s="9">
        <v>1.7471589999999999</v>
      </c>
      <c r="F268" s="1">
        <v>-0.86974600000000002</v>
      </c>
      <c r="G268" s="1">
        <v>0.29865399999999998</v>
      </c>
      <c r="H268" s="1">
        <v>406</v>
      </c>
      <c r="I268" s="12">
        <v>27</v>
      </c>
      <c r="J268" s="18" t="str">
        <f t="shared" si="30"/>
        <v>NIE</v>
      </c>
      <c r="K268" s="9">
        <v>1.747579</v>
      </c>
      <c r="L268" s="9">
        <v>-0.87450399999999995</v>
      </c>
      <c r="M268" s="9">
        <v>0.29863899999999999</v>
      </c>
      <c r="N268" s="1">
        <v>226</v>
      </c>
      <c r="O268" s="12">
        <v>43</v>
      </c>
      <c r="P268" s="18" t="str">
        <f t="shared" si="31"/>
        <v>NIE</v>
      </c>
      <c r="Q268" s="15">
        <v>1.073771</v>
      </c>
      <c r="R268" s="1">
        <v>-0.52697499999999997</v>
      </c>
      <c r="S268" s="1">
        <v>0.87743700000000002</v>
      </c>
      <c r="T268" s="1">
        <v>631</v>
      </c>
      <c r="U268" s="1">
        <v>42</v>
      </c>
      <c r="V268" s="12">
        <v>42</v>
      </c>
      <c r="W268" s="18" t="str">
        <f t="shared" si="32"/>
        <v>NIE</v>
      </c>
    </row>
    <row r="269" spans="1:23" ht="15" thickBot="1" x14ac:dyDescent="0.35">
      <c r="A269" s="54"/>
      <c r="B269" s="39">
        <v>65</v>
      </c>
      <c r="C269" s="15">
        <v>1.4343129999999999</v>
      </c>
      <c r="D269" s="47">
        <v>0.76069399999999998</v>
      </c>
      <c r="E269" s="9">
        <v>1.747212</v>
      </c>
      <c r="F269" s="1">
        <v>-0.87029599999999996</v>
      </c>
      <c r="G269" s="1">
        <v>0.29865000000000003</v>
      </c>
      <c r="H269" s="1">
        <v>451</v>
      </c>
      <c r="I269" s="12">
        <v>30</v>
      </c>
      <c r="J269" s="18" t="str">
        <f t="shared" si="30"/>
        <v>NIE</v>
      </c>
      <c r="K269" s="9">
        <v>1.7478389999999999</v>
      </c>
      <c r="L269" s="9">
        <v>-0.87429299999999999</v>
      </c>
      <c r="M269" s="9">
        <v>0.29863899999999999</v>
      </c>
      <c r="N269" s="1">
        <v>151</v>
      </c>
      <c r="O269" s="12">
        <v>28</v>
      </c>
      <c r="P269" s="18" t="str">
        <f t="shared" si="31"/>
        <v>NIE</v>
      </c>
      <c r="Q269" s="15">
        <v>1.072271</v>
      </c>
      <c r="R269" s="1">
        <v>-0.52652600000000005</v>
      </c>
      <c r="S269" s="1">
        <v>0.87744699999999998</v>
      </c>
      <c r="T269" s="1">
        <v>721</v>
      </c>
      <c r="U269" s="1">
        <v>48</v>
      </c>
      <c r="V269" s="12">
        <v>48</v>
      </c>
      <c r="W269" s="18" t="str">
        <f t="shared" si="32"/>
        <v>NIE</v>
      </c>
    </row>
    <row r="270" spans="1:23" ht="15" thickBot="1" x14ac:dyDescent="0.35">
      <c r="A270" s="54"/>
      <c r="B270" s="39">
        <v>66</v>
      </c>
      <c r="C270" s="15">
        <v>1.6581490000000001</v>
      </c>
      <c r="D270" s="47">
        <v>1.0994379999999999</v>
      </c>
      <c r="E270" s="9">
        <v>1.7471760000000001</v>
      </c>
      <c r="F270" s="1">
        <v>-0.86992000000000003</v>
      </c>
      <c r="G270" s="1">
        <v>0.298653</v>
      </c>
      <c r="H270" s="1">
        <v>451</v>
      </c>
      <c r="I270" s="12">
        <v>30</v>
      </c>
      <c r="J270" s="18" t="str">
        <f t="shared" si="30"/>
        <v>NIE</v>
      </c>
      <c r="K270" s="9">
        <v>1.747722</v>
      </c>
      <c r="L270" s="9">
        <v>-0.87340499999999999</v>
      </c>
      <c r="M270" s="9">
        <v>0.29863899999999999</v>
      </c>
      <c r="N270" s="1">
        <v>166</v>
      </c>
      <c r="O270" s="12">
        <v>31</v>
      </c>
      <c r="P270" s="18" t="str">
        <f t="shared" si="31"/>
        <v>NIE</v>
      </c>
      <c r="Q270" s="15">
        <v>1.7472639999999999</v>
      </c>
      <c r="R270" s="1">
        <v>-0.86538999999999999</v>
      </c>
      <c r="S270" s="1">
        <v>0.298707</v>
      </c>
      <c r="T270" s="1">
        <v>781</v>
      </c>
      <c r="U270" s="1">
        <v>52</v>
      </c>
      <c r="V270" s="12">
        <v>52</v>
      </c>
      <c r="W270" s="18" t="str">
        <f t="shared" si="32"/>
        <v>NIE</v>
      </c>
    </row>
    <row r="271" spans="1:23" ht="15" thickBot="1" x14ac:dyDescent="0.35">
      <c r="A271" s="54"/>
      <c r="B271" s="39">
        <v>67</v>
      </c>
      <c r="C271" s="15">
        <v>1.037328</v>
      </c>
      <c r="D271" s="47">
        <v>0.33593400000000001</v>
      </c>
      <c r="E271" s="9">
        <v>1.846E-3</v>
      </c>
      <c r="F271" s="1">
        <v>-4.4549999999999998E-3</v>
      </c>
      <c r="G271" s="1">
        <v>1.8E-5</v>
      </c>
      <c r="H271" s="1">
        <v>436</v>
      </c>
      <c r="I271" s="12">
        <v>29</v>
      </c>
      <c r="J271" s="18" t="str">
        <f t="shared" si="30"/>
        <v>TAK</v>
      </c>
      <c r="K271" s="9" t="s">
        <v>23</v>
      </c>
      <c r="L271" s="9" t="s">
        <v>23</v>
      </c>
      <c r="M271" s="9" t="s">
        <v>23</v>
      </c>
      <c r="N271" s="1">
        <v>391</v>
      </c>
      <c r="O271" s="12">
        <v>76</v>
      </c>
      <c r="P271" s="18" t="e">
        <f t="shared" si="31"/>
        <v>#VALUE!</v>
      </c>
      <c r="Q271" s="15">
        <v>1.0702179999999999</v>
      </c>
      <c r="R271" s="1">
        <v>-0.52665499999999998</v>
      </c>
      <c r="S271" s="1">
        <v>0.87743300000000002</v>
      </c>
      <c r="T271" s="1">
        <v>661</v>
      </c>
      <c r="U271" s="1">
        <v>44</v>
      </c>
      <c r="V271" s="12">
        <v>44</v>
      </c>
      <c r="W271" s="18" t="str">
        <f t="shared" si="32"/>
        <v>NIE</v>
      </c>
    </row>
    <row r="272" spans="1:23" ht="15" thickBot="1" x14ac:dyDescent="0.35">
      <c r="A272" s="54"/>
      <c r="B272" s="39">
        <v>68</v>
      </c>
      <c r="C272" s="15">
        <v>0.52800800000000003</v>
      </c>
      <c r="D272" s="47">
        <v>0.41383999999999999</v>
      </c>
      <c r="E272" s="9">
        <v>-1.7619999999999999E-3</v>
      </c>
      <c r="F272" s="1">
        <v>4.274E-3</v>
      </c>
      <c r="G272" s="1">
        <v>1.7E-5</v>
      </c>
      <c r="H272" s="1">
        <v>301</v>
      </c>
      <c r="I272" s="12">
        <v>20</v>
      </c>
      <c r="J272" s="18" t="str">
        <f t="shared" si="30"/>
        <v>TAK</v>
      </c>
      <c r="K272" s="9">
        <v>-6.3400000000000001E-4</v>
      </c>
      <c r="L272" s="9">
        <v>1.446E-3</v>
      </c>
      <c r="M272" s="9">
        <v>1.9999999999999999E-6</v>
      </c>
      <c r="N272" s="1">
        <v>166</v>
      </c>
      <c r="O272" s="12">
        <v>31</v>
      </c>
      <c r="P272" s="18" t="str">
        <f t="shared" si="31"/>
        <v>TAK</v>
      </c>
      <c r="Q272" s="15">
        <v>2.7320000000000001E-3</v>
      </c>
      <c r="R272" s="1">
        <v>7.8200000000000006E-3</v>
      </c>
      <c r="S272" s="1">
        <v>9.7E-5</v>
      </c>
      <c r="T272" s="1">
        <v>616</v>
      </c>
      <c r="U272" s="1">
        <v>41</v>
      </c>
      <c r="V272" s="12">
        <v>41</v>
      </c>
      <c r="W272" s="18" t="str">
        <f t="shared" si="32"/>
        <v>TAK</v>
      </c>
    </row>
    <row r="273" spans="1:23" ht="15" thickBot="1" x14ac:dyDescent="0.35">
      <c r="A273" s="54"/>
      <c r="B273" s="39">
        <v>69</v>
      </c>
      <c r="C273" s="15">
        <v>0.58634500000000001</v>
      </c>
      <c r="D273" s="47">
        <v>1.5761240000000001</v>
      </c>
      <c r="E273" s="9">
        <v>-1.874E-3</v>
      </c>
      <c r="F273" s="1">
        <v>4.5240000000000002E-3</v>
      </c>
      <c r="G273" s="1">
        <v>1.9000000000000001E-5</v>
      </c>
      <c r="H273" s="1">
        <v>481</v>
      </c>
      <c r="I273" s="12">
        <v>32</v>
      </c>
      <c r="J273" s="18" t="str">
        <f t="shared" si="30"/>
        <v>TAK</v>
      </c>
      <c r="K273" s="9">
        <v>-4.5300000000000001E-4</v>
      </c>
      <c r="L273" s="9">
        <v>1.0330000000000001E-3</v>
      </c>
      <c r="M273" s="9">
        <v>9.9999999999999995E-7</v>
      </c>
      <c r="N273" s="1">
        <v>226</v>
      </c>
      <c r="O273" s="12">
        <v>43</v>
      </c>
      <c r="P273" s="18" t="str">
        <f t="shared" si="31"/>
        <v>TAK</v>
      </c>
      <c r="Q273" s="15">
        <v>1.07077</v>
      </c>
      <c r="R273" s="1">
        <v>-0.52651300000000001</v>
      </c>
      <c r="S273" s="1">
        <v>0.87744</v>
      </c>
      <c r="T273" s="1">
        <v>766</v>
      </c>
      <c r="U273" s="1">
        <v>51</v>
      </c>
      <c r="V273" s="12">
        <v>51</v>
      </c>
      <c r="W273" s="18" t="str">
        <f t="shared" si="32"/>
        <v>NIE</v>
      </c>
    </row>
    <row r="274" spans="1:23" ht="15" thickBot="1" x14ac:dyDescent="0.35">
      <c r="A274" s="54"/>
      <c r="B274" s="39">
        <v>70</v>
      </c>
      <c r="C274" s="15">
        <v>0.47928100000000001</v>
      </c>
      <c r="D274" s="47">
        <v>0.13264999999999999</v>
      </c>
      <c r="E274" s="9">
        <v>1.8979999999999999E-3</v>
      </c>
      <c r="F274" s="1">
        <v>-4.4949999999999999E-3</v>
      </c>
      <c r="G274" s="1">
        <v>1.9000000000000001E-5</v>
      </c>
      <c r="H274" s="1">
        <v>256</v>
      </c>
      <c r="I274" s="12">
        <v>17</v>
      </c>
      <c r="J274" s="18" t="str">
        <f t="shared" si="30"/>
        <v>TAK</v>
      </c>
      <c r="K274" s="9">
        <v>5.5999999999999995E-4</v>
      </c>
      <c r="L274" s="9">
        <v>-1.3129999999999999E-3</v>
      </c>
      <c r="M274" s="9">
        <v>1.9999999999999999E-6</v>
      </c>
      <c r="N274" s="1">
        <v>166</v>
      </c>
      <c r="O274" s="12">
        <v>31</v>
      </c>
      <c r="P274" s="18" t="str">
        <f t="shared" si="31"/>
        <v>TAK</v>
      </c>
      <c r="Q274" s="15">
        <v>7.2240000000000004E-3</v>
      </c>
      <c r="R274" s="1">
        <v>4.9129999999999998E-3</v>
      </c>
      <c r="S274" s="1">
        <v>1.64E-4</v>
      </c>
      <c r="T274" s="1">
        <v>541</v>
      </c>
      <c r="U274" s="1">
        <v>36</v>
      </c>
      <c r="V274" s="12">
        <v>36</v>
      </c>
      <c r="W274" s="18" t="str">
        <f t="shared" si="32"/>
        <v>TAK</v>
      </c>
    </row>
    <row r="275" spans="1:23" ht="15" thickBot="1" x14ac:dyDescent="0.35">
      <c r="A275" s="54"/>
      <c r="B275" s="39">
        <v>71</v>
      </c>
      <c r="C275" s="15">
        <v>1.293355</v>
      </c>
      <c r="D275" s="47">
        <v>1.4622889999999999</v>
      </c>
      <c r="E275" s="9">
        <v>1.745E-3</v>
      </c>
      <c r="F275" s="1">
        <v>-4.1989999999999996E-3</v>
      </c>
      <c r="G275" s="1">
        <v>1.5999999999999999E-5</v>
      </c>
      <c r="H275" s="1">
        <v>391</v>
      </c>
      <c r="I275" s="12">
        <v>26</v>
      </c>
      <c r="J275" s="18" t="str">
        <f t="shared" si="30"/>
        <v>TAK</v>
      </c>
      <c r="K275" s="9" t="s">
        <v>23</v>
      </c>
      <c r="L275" s="9" t="e">
        <v>#NAME?</v>
      </c>
      <c r="M275" s="9" t="s">
        <v>23</v>
      </c>
      <c r="N275" s="1">
        <v>391</v>
      </c>
      <c r="O275" s="12">
        <v>76</v>
      </c>
      <c r="P275" s="18" t="e">
        <f t="shared" si="31"/>
        <v>#VALUE!</v>
      </c>
      <c r="Q275" s="15">
        <v>1.0714509999999999</v>
      </c>
      <c r="R275" s="1">
        <v>-0.52671199999999996</v>
      </c>
      <c r="S275" s="1">
        <v>0.87744100000000003</v>
      </c>
      <c r="T275" s="1">
        <v>781</v>
      </c>
      <c r="U275" s="1">
        <v>52</v>
      </c>
      <c r="V275" s="12">
        <v>52</v>
      </c>
      <c r="W275" s="18" t="str">
        <f t="shared" si="32"/>
        <v>NIE</v>
      </c>
    </row>
    <row r="276" spans="1:23" ht="15" thickBot="1" x14ac:dyDescent="0.35">
      <c r="A276" s="54"/>
      <c r="B276" s="39">
        <v>72</v>
      </c>
      <c r="C276" s="15">
        <v>0.46827000000000002</v>
      </c>
      <c r="D276" s="47">
        <v>5.2441000000000002E-2</v>
      </c>
      <c r="E276" s="9">
        <v>1.9680000000000001E-3</v>
      </c>
      <c r="F276" s="1">
        <v>-4.7359999999999998E-3</v>
      </c>
      <c r="G276" s="1">
        <v>2.0999999999999999E-5</v>
      </c>
      <c r="H276" s="1">
        <v>301</v>
      </c>
      <c r="I276" s="12">
        <v>20</v>
      </c>
      <c r="J276" s="18" t="str">
        <f t="shared" si="30"/>
        <v>TAK</v>
      </c>
      <c r="K276" s="9">
        <v>9.7400000000000004E-4</v>
      </c>
      <c r="L276" s="9">
        <v>-1.8029999999999999E-3</v>
      </c>
      <c r="M276" s="9">
        <v>3.0000000000000001E-6</v>
      </c>
      <c r="N276" s="1">
        <v>166</v>
      </c>
      <c r="O276" s="12">
        <v>31</v>
      </c>
      <c r="P276" s="18" t="str">
        <f t="shared" si="31"/>
        <v>TAK</v>
      </c>
      <c r="Q276" s="15">
        <v>8.1069999999999996E-3</v>
      </c>
      <c r="R276" s="1">
        <v>3.2339999999999999E-3</v>
      </c>
      <c r="S276" s="1">
        <v>1.6799999999999999E-4</v>
      </c>
      <c r="T276" s="1">
        <v>526</v>
      </c>
      <c r="U276" s="1">
        <v>35</v>
      </c>
      <c r="V276" s="12">
        <v>35</v>
      </c>
      <c r="W276" s="18" t="str">
        <f t="shared" si="32"/>
        <v>TAK</v>
      </c>
    </row>
    <row r="277" spans="1:23" ht="15" thickBot="1" x14ac:dyDescent="0.35">
      <c r="A277" s="54"/>
      <c r="B277" s="39">
        <v>73</v>
      </c>
      <c r="C277" s="15">
        <v>1.78094</v>
      </c>
      <c r="D277" s="47">
        <v>1.133524</v>
      </c>
      <c r="E277" s="9">
        <v>1.7471699999999999</v>
      </c>
      <c r="F277" s="1">
        <v>-0.869865</v>
      </c>
      <c r="G277" s="1">
        <v>0.298653</v>
      </c>
      <c r="H277" s="1">
        <v>451</v>
      </c>
      <c r="I277" s="12">
        <v>30</v>
      </c>
      <c r="J277" s="18" t="str">
        <f t="shared" si="30"/>
        <v>NIE</v>
      </c>
      <c r="K277" s="9" t="s">
        <v>23</v>
      </c>
      <c r="L277" s="9" t="s">
        <v>23</v>
      </c>
      <c r="M277" s="9" t="s">
        <v>23</v>
      </c>
      <c r="N277" s="1">
        <v>196</v>
      </c>
      <c r="O277" s="12">
        <v>37</v>
      </c>
      <c r="P277" s="18" t="e">
        <f t="shared" si="31"/>
        <v>#VALUE!</v>
      </c>
      <c r="Q277" s="15">
        <v>1.7477100000000001</v>
      </c>
      <c r="R277" s="1">
        <v>-0.865205</v>
      </c>
      <c r="S277" s="1">
        <v>0.29871300000000001</v>
      </c>
      <c r="T277" s="1">
        <v>781</v>
      </c>
      <c r="U277" s="1">
        <v>52</v>
      </c>
      <c r="V277" s="12">
        <v>52</v>
      </c>
      <c r="W277" s="18" t="str">
        <f t="shared" si="32"/>
        <v>NIE</v>
      </c>
    </row>
    <row r="278" spans="1:23" ht="15" thickBot="1" x14ac:dyDescent="0.35">
      <c r="A278" s="54"/>
      <c r="B278" s="39">
        <v>74</v>
      </c>
      <c r="C278" s="15">
        <v>0.36533300000000002</v>
      </c>
      <c r="D278" s="47">
        <v>0.28881299999999999</v>
      </c>
      <c r="E278" s="9">
        <v>-1.99E-3</v>
      </c>
      <c r="F278" s="1">
        <v>4.8419999999999999E-3</v>
      </c>
      <c r="G278" s="1">
        <v>2.1999999999999999E-5</v>
      </c>
      <c r="H278" s="1">
        <v>271</v>
      </c>
      <c r="I278" s="12">
        <v>18</v>
      </c>
      <c r="J278" s="18" t="str">
        <f t="shared" si="30"/>
        <v>TAK</v>
      </c>
      <c r="K278" s="9">
        <v>-4.9200000000000003E-4</v>
      </c>
      <c r="L278" s="9">
        <v>1.3569999999999999E-3</v>
      </c>
      <c r="M278" s="9">
        <v>1.9999999999999999E-6</v>
      </c>
      <c r="N278" s="1">
        <v>166</v>
      </c>
      <c r="O278" s="12">
        <v>31</v>
      </c>
      <c r="P278" s="18" t="str">
        <f t="shared" si="31"/>
        <v>TAK</v>
      </c>
      <c r="Q278" s="15">
        <v>5.5259999999999997E-3</v>
      </c>
      <c r="R278" s="1">
        <v>5.9890000000000004E-3</v>
      </c>
      <c r="S278" s="1">
        <v>1.2999999999999999E-4</v>
      </c>
      <c r="T278" s="1">
        <v>571</v>
      </c>
      <c r="U278" s="1">
        <v>38</v>
      </c>
      <c r="V278" s="12">
        <v>38</v>
      </c>
      <c r="W278" s="18" t="str">
        <f t="shared" si="32"/>
        <v>TAK</v>
      </c>
    </row>
    <row r="279" spans="1:23" ht="15" thickBot="1" x14ac:dyDescent="0.35">
      <c r="A279" s="54"/>
      <c r="B279" s="39">
        <v>75</v>
      </c>
      <c r="C279" s="15">
        <v>1.68746</v>
      </c>
      <c r="D279" s="47">
        <v>1.8253200000000001</v>
      </c>
      <c r="E279" s="9">
        <v>1.747163</v>
      </c>
      <c r="F279" s="1">
        <v>-0.86979399999999996</v>
      </c>
      <c r="G279" s="1">
        <v>0.29865399999999998</v>
      </c>
      <c r="H279" s="1">
        <v>481</v>
      </c>
      <c r="I279" s="12">
        <v>32</v>
      </c>
      <c r="J279" s="18" t="str">
        <f t="shared" si="30"/>
        <v>NIE</v>
      </c>
      <c r="K279" s="9" t="s">
        <v>23</v>
      </c>
      <c r="L279" s="9" t="s">
        <v>23</v>
      </c>
      <c r="M279" s="9" t="s">
        <v>23</v>
      </c>
      <c r="N279" s="1">
        <v>196</v>
      </c>
      <c r="O279" s="12">
        <v>37</v>
      </c>
      <c r="P279" s="18" t="e">
        <f t="shared" si="31"/>
        <v>#VALUE!</v>
      </c>
      <c r="Q279" s="15">
        <v>1.7473970000000001</v>
      </c>
      <c r="R279" s="1">
        <v>-0.865371</v>
      </c>
      <c r="S279" s="1">
        <v>0.29870799999999997</v>
      </c>
      <c r="T279" s="1">
        <v>826</v>
      </c>
      <c r="U279" s="1">
        <v>55</v>
      </c>
      <c r="V279" s="12">
        <v>55</v>
      </c>
      <c r="W279" s="18" t="str">
        <f t="shared" si="32"/>
        <v>NIE</v>
      </c>
    </row>
    <row r="280" spans="1:23" ht="15" thickBot="1" x14ac:dyDescent="0.35">
      <c r="A280" s="54"/>
      <c r="B280" s="39">
        <v>76</v>
      </c>
      <c r="C280" s="15">
        <v>0.96865299999999999</v>
      </c>
      <c r="D280" s="47">
        <v>0.112528</v>
      </c>
      <c r="E280" s="9">
        <v>1.9629999999999999E-3</v>
      </c>
      <c r="F280" s="1">
        <v>-4.7369999999999999E-3</v>
      </c>
      <c r="G280" s="1">
        <v>2.0999999999999999E-5</v>
      </c>
      <c r="H280" s="1">
        <v>436</v>
      </c>
      <c r="I280" s="12">
        <v>29</v>
      </c>
      <c r="J280" s="18" t="str">
        <f t="shared" si="30"/>
        <v>TAK</v>
      </c>
      <c r="K280" s="9">
        <v>1.7473959999999999</v>
      </c>
      <c r="L280" s="9">
        <v>-0.87287599999999999</v>
      </c>
      <c r="M280" s="9">
        <v>0.29863899999999999</v>
      </c>
      <c r="N280" s="1">
        <v>406</v>
      </c>
      <c r="O280" s="12">
        <v>79</v>
      </c>
      <c r="P280" s="18" t="str">
        <f t="shared" si="31"/>
        <v>NIE</v>
      </c>
      <c r="Q280" s="15">
        <v>1.0692299999999999</v>
      </c>
      <c r="R280" s="1">
        <v>-0.52652699999999997</v>
      </c>
      <c r="S280" s="1">
        <v>0.87742299999999995</v>
      </c>
      <c r="T280" s="1">
        <v>616</v>
      </c>
      <c r="U280" s="1">
        <v>41</v>
      </c>
      <c r="V280" s="12">
        <v>41</v>
      </c>
      <c r="W280" s="18" t="str">
        <f t="shared" si="32"/>
        <v>NIE</v>
      </c>
    </row>
    <row r="281" spans="1:23" ht="15" thickBot="1" x14ac:dyDescent="0.35">
      <c r="A281" s="54"/>
      <c r="B281" s="39">
        <v>77</v>
      </c>
      <c r="C281" s="15">
        <v>0.77615100000000004</v>
      </c>
      <c r="D281" s="47">
        <v>0.96365599999999996</v>
      </c>
      <c r="E281" s="9">
        <v>-1.753E-3</v>
      </c>
      <c r="F281" s="1">
        <v>4.2339999999999999E-3</v>
      </c>
      <c r="G281" s="1">
        <v>1.7E-5</v>
      </c>
      <c r="H281" s="1">
        <v>406</v>
      </c>
      <c r="I281" s="12">
        <v>27</v>
      </c>
      <c r="J281" s="18" t="str">
        <f t="shared" si="30"/>
        <v>TAK</v>
      </c>
      <c r="K281" s="9">
        <v>-6.7000000000000002E-5</v>
      </c>
      <c r="L281" s="9">
        <v>7.7899999999999996E-4</v>
      </c>
      <c r="M281" s="9">
        <v>9.9999999999999995E-7</v>
      </c>
      <c r="N281" s="1">
        <v>211</v>
      </c>
      <c r="O281" s="12">
        <v>40</v>
      </c>
      <c r="P281" s="18" t="str">
        <f t="shared" si="31"/>
        <v>TAK</v>
      </c>
      <c r="Q281" s="15">
        <v>1.0692090000000001</v>
      </c>
      <c r="R281" s="1">
        <v>-0.52669100000000002</v>
      </c>
      <c r="S281" s="1">
        <v>0.87741999999999998</v>
      </c>
      <c r="T281" s="1">
        <v>736</v>
      </c>
      <c r="U281" s="1">
        <v>49</v>
      </c>
      <c r="V281" s="12">
        <v>49</v>
      </c>
      <c r="W281" s="18" t="str">
        <f t="shared" si="32"/>
        <v>NIE</v>
      </c>
    </row>
    <row r="282" spans="1:23" ht="15" thickBot="1" x14ac:dyDescent="0.35">
      <c r="A282" s="54"/>
      <c r="B282" s="39">
        <v>78</v>
      </c>
      <c r="C282" s="15">
        <v>1.1193919999999999</v>
      </c>
      <c r="D282" s="47">
        <v>0.74274200000000001</v>
      </c>
      <c r="E282" s="9">
        <v>1.8140000000000001E-3</v>
      </c>
      <c r="F282" s="1">
        <v>-4.3750000000000004E-3</v>
      </c>
      <c r="G282" s="1">
        <v>1.8E-5</v>
      </c>
      <c r="H282" s="1">
        <v>406</v>
      </c>
      <c r="I282" s="12">
        <v>27</v>
      </c>
      <c r="J282" s="18" t="str">
        <f t="shared" si="30"/>
        <v>TAK</v>
      </c>
      <c r="K282" s="9">
        <v>1.4899999999999999E-4</v>
      </c>
      <c r="L282" s="9">
        <v>6.5899999999999997E-4</v>
      </c>
      <c r="M282" s="9">
        <v>9.9999999999999995E-7</v>
      </c>
      <c r="N282" s="1">
        <v>616</v>
      </c>
      <c r="O282" s="12">
        <v>121</v>
      </c>
      <c r="P282" s="18" t="str">
        <f t="shared" si="31"/>
        <v>TAK</v>
      </c>
      <c r="Q282" s="15">
        <v>1.0708629999999999</v>
      </c>
      <c r="R282" s="1">
        <v>-0.52696299999999996</v>
      </c>
      <c r="S282" s="1">
        <v>0.87743300000000002</v>
      </c>
      <c r="T282" s="1">
        <v>721</v>
      </c>
      <c r="U282" s="1">
        <v>48</v>
      </c>
      <c r="V282" s="12">
        <v>48</v>
      </c>
      <c r="W282" s="18" t="str">
        <f t="shared" si="32"/>
        <v>NIE</v>
      </c>
    </row>
    <row r="283" spans="1:23" ht="15" thickBot="1" x14ac:dyDescent="0.35">
      <c r="A283" s="54"/>
      <c r="B283" s="39">
        <v>79</v>
      </c>
      <c r="C283" s="15">
        <v>0.64358700000000002</v>
      </c>
      <c r="D283" s="47">
        <v>0.23268</v>
      </c>
      <c r="E283" s="9">
        <v>1.9220000000000001E-3</v>
      </c>
      <c r="F283" s="1">
        <v>-4.5560000000000002E-3</v>
      </c>
      <c r="G283" s="1">
        <v>1.9000000000000001E-5</v>
      </c>
      <c r="H283" s="1">
        <v>271</v>
      </c>
      <c r="I283" s="12">
        <v>18</v>
      </c>
      <c r="J283" s="18" t="str">
        <f t="shared" si="30"/>
        <v>TAK</v>
      </c>
      <c r="K283" s="9">
        <v>8.1999999999999998E-4</v>
      </c>
      <c r="L283" s="9">
        <v>-1.933E-3</v>
      </c>
      <c r="M283" s="9">
        <v>3.0000000000000001E-6</v>
      </c>
      <c r="N283" s="1">
        <v>166</v>
      </c>
      <c r="O283" s="12">
        <v>31</v>
      </c>
      <c r="P283" s="18" t="str">
        <f t="shared" si="31"/>
        <v>TAK</v>
      </c>
      <c r="Q283" s="15">
        <v>1.067523</v>
      </c>
      <c r="R283" s="1">
        <v>-0.52699600000000002</v>
      </c>
      <c r="S283" s="1">
        <v>0.87738700000000003</v>
      </c>
      <c r="T283" s="1">
        <v>631</v>
      </c>
      <c r="U283" s="1">
        <v>42</v>
      </c>
      <c r="V283" s="12">
        <v>42</v>
      </c>
      <c r="W283" s="18" t="str">
        <f t="shared" si="32"/>
        <v>NIE</v>
      </c>
    </row>
    <row r="284" spans="1:23" ht="15" thickBot="1" x14ac:dyDescent="0.35">
      <c r="A284" s="54"/>
      <c r="B284" s="39">
        <v>80</v>
      </c>
      <c r="C284" s="15">
        <v>1.8777109999999999</v>
      </c>
      <c r="D284" s="47">
        <v>3.6290000000000003E-2</v>
      </c>
      <c r="E284" s="9">
        <v>1.7471680000000001</v>
      </c>
      <c r="F284" s="1">
        <v>-0.86983900000000003</v>
      </c>
      <c r="G284" s="1">
        <v>0.298653</v>
      </c>
      <c r="H284" s="1">
        <v>391</v>
      </c>
      <c r="I284" s="12">
        <v>26</v>
      </c>
      <c r="J284" s="18" t="str">
        <f t="shared" si="30"/>
        <v>NIE</v>
      </c>
      <c r="K284" s="9">
        <v>1.7474970000000001</v>
      </c>
      <c r="L284" s="9">
        <v>-0.87257600000000002</v>
      </c>
      <c r="M284" s="9">
        <v>0.29864000000000002</v>
      </c>
      <c r="N284" s="1">
        <v>196</v>
      </c>
      <c r="O284" s="12">
        <v>37</v>
      </c>
      <c r="P284" s="18" t="str">
        <f t="shared" si="31"/>
        <v>NIE</v>
      </c>
      <c r="Q284" s="15">
        <v>1.7493920000000001</v>
      </c>
      <c r="R284" s="1">
        <v>-0.86504899999999996</v>
      </c>
      <c r="S284" s="1">
        <v>0.29875099999999999</v>
      </c>
      <c r="T284" s="1">
        <v>661</v>
      </c>
      <c r="U284" s="1">
        <v>44</v>
      </c>
      <c r="V284" s="12">
        <v>44</v>
      </c>
      <c r="W284" s="18" t="str">
        <f t="shared" si="32"/>
        <v>NIE</v>
      </c>
    </row>
    <row r="285" spans="1:23" ht="15" thickBot="1" x14ac:dyDescent="0.35">
      <c r="A285" s="54"/>
      <c r="B285" s="39">
        <v>81</v>
      </c>
      <c r="C285" s="15">
        <v>6.7614999999999995E-2</v>
      </c>
      <c r="D285" s="47">
        <v>0.27243200000000001</v>
      </c>
      <c r="E285" s="9">
        <v>-1.9689999999999998E-3</v>
      </c>
      <c r="F285" s="1">
        <v>4.7540000000000004E-3</v>
      </c>
      <c r="G285" s="1">
        <v>2.0999999999999999E-5</v>
      </c>
      <c r="H285" s="1">
        <v>331</v>
      </c>
      <c r="I285" s="12">
        <v>22</v>
      </c>
      <c r="J285" s="18" t="str">
        <f t="shared" si="30"/>
        <v>TAK</v>
      </c>
      <c r="K285" s="9">
        <v>-7.2999999999999999E-5</v>
      </c>
      <c r="L285" s="9">
        <v>9.3300000000000002E-4</v>
      </c>
      <c r="M285" s="9">
        <v>9.9999999999999995E-7</v>
      </c>
      <c r="N285" s="1">
        <v>181</v>
      </c>
      <c r="O285" s="12">
        <v>34</v>
      </c>
      <c r="P285" s="18" t="str">
        <f t="shared" si="31"/>
        <v>TAK</v>
      </c>
      <c r="Q285" s="15">
        <v>2.1069999999999999E-3</v>
      </c>
      <c r="R285" s="1">
        <v>8.5520000000000006E-3</v>
      </c>
      <c r="S285" s="1">
        <v>1E-4</v>
      </c>
      <c r="T285" s="1">
        <v>496</v>
      </c>
      <c r="U285" s="1">
        <v>33</v>
      </c>
      <c r="V285" s="12">
        <v>33</v>
      </c>
      <c r="W285" s="18" t="str">
        <f t="shared" si="32"/>
        <v>TAK</v>
      </c>
    </row>
    <row r="286" spans="1:23" ht="15" thickBot="1" x14ac:dyDescent="0.35">
      <c r="A286" s="54"/>
      <c r="B286" s="39">
        <v>82</v>
      </c>
      <c r="C286" s="15">
        <v>1.6323259999999999</v>
      </c>
      <c r="D286" s="47">
        <v>0.70513599999999999</v>
      </c>
      <c r="E286" s="9">
        <v>1.747187</v>
      </c>
      <c r="F286" s="1">
        <v>-0.87003900000000001</v>
      </c>
      <c r="G286" s="1">
        <v>0.29865199999999997</v>
      </c>
      <c r="H286" s="1">
        <v>436</v>
      </c>
      <c r="I286" s="12">
        <v>29</v>
      </c>
      <c r="J286" s="18" t="str">
        <f t="shared" si="30"/>
        <v>NIE</v>
      </c>
      <c r="K286" s="9">
        <v>1.7475339999999999</v>
      </c>
      <c r="L286" s="9">
        <v>-0.87291799999999997</v>
      </c>
      <c r="M286" s="9">
        <v>0.29863899999999999</v>
      </c>
      <c r="N286" s="1">
        <v>211</v>
      </c>
      <c r="O286" s="12">
        <v>40</v>
      </c>
      <c r="P286" s="18" t="str">
        <f t="shared" si="31"/>
        <v>NIE</v>
      </c>
      <c r="Q286" s="15">
        <v>1.747134</v>
      </c>
      <c r="R286" s="1">
        <v>-0.86554699999999996</v>
      </c>
      <c r="S286" s="1">
        <v>0.29870400000000003</v>
      </c>
      <c r="T286" s="1">
        <v>751</v>
      </c>
      <c r="U286" s="1">
        <v>50</v>
      </c>
      <c r="V286" s="12">
        <v>50</v>
      </c>
      <c r="W286" s="18" t="str">
        <f t="shared" si="32"/>
        <v>NIE</v>
      </c>
    </row>
    <row r="287" spans="1:23" ht="15" thickBot="1" x14ac:dyDescent="0.35">
      <c r="A287" s="54"/>
      <c r="B287" s="39">
        <v>83</v>
      </c>
      <c r="C287" s="15">
        <v>1.6812339999999999</v>
      </c>
      <c r="D287" s="47">
        <v>0.76311600000000002</v>
      </c>
      <c r="E287" s="9">
        <v>1.7471760000000001</v>
      </c>
      <c r="F287" s="1">
        <v>-0.869923</v>
      </c>
      <c r="G287" s="1">
        <v>0.298653</v>
      </c>
      <c r="H287" s="1">
        <v>436</v>
      </c>
      <c r="I287" s="12">
        <v>29</v>
      </c>
      <c r="J287" s="18" t="str">
        <f t="shared" si="30"/>
        <v>NIE</v>
      </c>
      <c r="K287" s="9">
        <v>1.747528</v>
      </c>
      <c r="L287" s="9">
        <v>-0.87290500000000004</v>
      </c>
      <c r="M287" s="9">
        <v>0.29863899999999999</v>
      </c>
      <c r="N287" s="1">
        <v>211</v>
      </c>
      <c r="O287" s="12">
        <v>40</v>
      </c>
      <c r="P287" s="18" t="str">
        <f t="shared" si="31"/>
        <v>NIE</v>
      </c>
      <c r="Q287" s="15">
        <v>1.747268</v>
      </c>
      <c r="R287" s="1">
        <v>-0.86517999999999995</v>
      </c>
      <c r="S287" s="1">
        <v>0.29870999999999998</v>
      </c>
      <c r="T287" s="1">
        <v>751</v>
      </c>
      <c r="U287" s="1">
        <v>50</v>
      </c>
      <c r="V287" s="12">
        <v>50</v>
      </c>
      <c r="W287" s="18" t="str">
        <f t="shared" si="32"/>
        <v>NIE</v>
      </c>
    </row>
    <row r="288" spans="1:23" ht="15" thickBot="1" x14ac:dyDescent="0.35">
      <c r="A288" s="54"/>
      <c r="B288" s="39">
        <v>84</v>
      </c>
      <c r="C288" s="15">
        <v>4.3284000000000003E-2</v>
      </c>
      <c r="D288" s="47">
        <v>0.847827</v>
      </c>
      <c r="E288" s="9">
        <v>-2.0170000000000001E-3</v>
      </c>
      <c r="F288" s="1">
        <v>4.8690000000000001E-3</v>
      </c>
      <c r="G288" s="1">
        <v>2.1999999999999999E-5</v>
      </c>
      <c r="H288" s="1">
        <v>436</v>
      </c>
      <c r="I288" s="12">
        <v>29</v>
      </c>
      <c r="J288" s="18" t="str">
        <f t="shared" si="30"/>
        <v>TAK</v>
      </c>
      <c r="K288" s="9">
        <v>-4.7800000000000002E-4</v>
      </c>
      <c r="L288" s="9">
        <v>1.024E-3</v>
      </c>
      <c r="M288" s="9">
        <v>9.9999999999999995E-7</v>
      </c>
      <c r="N288" s="1">
        <v>211</v>
      </c>
      <c r="O288" s="12">
        <v>40</v>
      </c>
      <c r="P288" s="18" t="str">
        <f t="shared" si="31"/>
        <v>TAK</v>
      </c>
      <c r="Q288" s="15">
        <v>4.2700000000000002E-4</v>
      </c>
      <c r="R288" s="1">
        <v>8.3879999999999996E-3</v>
      </c>
      <c r="S288" s="1">
        <v>7.3999999999999996E-5</v>
      </c>
      <c r="T288" s="1">
        <v>661</v>
      </c>
      <c r="U288" s="1">
        <v>44</v>
      </c>
      <c r="V288" s="12">
        <v>44</v>
      </c>
      <c r="W288" s="18" t="str">
        <f t="shared" si="32"/>
        <v>TAK</v>
      </c>
    </row>
    <row r="289" spans="1:23" ht="15" thickBot="1" x14ac:dyDescent="0.35">
      <c r="A289" s="54"/>
      <c r="B289" s="39">
        <v>85</v>
      </c>
      <c r="C289" s="15">
        <v>0.70175699999999996</v>
      </c>
      <c r="D289" s="47">
        <v>0.79075499999999999</v>
      </c>
      <c r="E289" s="9">
        <v>-1.9559999999999998E-3</v>
      </c>
      <c r="F289" s="1">
        <v>4.725E-3</v>
      </c>
      <c r="G289" s="1">
        <v>2.0999999999999999E-5</v>
      </c>
      <c r="H289" s="1">
        <v>376</v>
      </c>
      <c r="I289" s="12">
        <v>25</v>
      </c>
      <c r="J289" s="18" t="str">
        <f t="shared" si="30"/>
        <v>TAK</v>
      </c>
      <c r="K289" s="9">
        <v>-5.3999999999999998E-5</v>
      </c>
      <c r="L289" s="9">
        <v>6.6299999999999996E-4</v>
      </c>
      <c r="M289" s="9">
        <v>0</v>
      </c>
      <c r="N289" s="1">
        <v>211</v>
      </c>
      <c r="O289" s="12">
        <v>40</v>
      </c>
      <c r="P289" s="18" t="str">
        <f t="shared" si="31"/>
        <v>TAK</v>
      </c>
      <c r="Q289" s="15">
        <v>1.06891</v>
      </c>
      <c r="R289" s="1">
        <v>-0.52703199999999994</v>
      </c>
      <c r="S289" s="1">
        <v>0.87741100000000005</v>
      </c>
      <c r="T289" s="1">
        <v>721</v>
      </c>
      <c r="U289" s="1">
        <v>48</v>
      </c>
      <c r="V289" s="12">
        <v>48</v>
      </c>
      <c r="W289" s="18" t="str">
        <f t="shared" si="32"/>
        <v>NIE</v>
      </c>
    </row>
    <row r="290" spans="1:23" ht="15" thickBot="1" x14ac:dyDescent="0.35">
      <c r="A290" s="54"/>
      <c r="B290" s="39">
        <v>86</v>
      </c>
      <c r="C290" s="15">
        <v>0.591997</v>
      </c>
      <c r="D290" s="47">
        <v>1.371189</v>
      </c>
      <c r="E290" s="9">
        <v>-1.859E-3</v>
      </c>
      <c r="F290" s="1">
        <v>4.4879999999999998E-3</v>
      </c>
      <c r="G290" s="1">
        <v>1.9000000000000001E-5</v>
      </c>
      <c r="H290" s="1">
        <v>466</v>
      </c>
      <c r="I290" s="12">
        <v>31</v>
      </c>
      <c r="J290" s="18" t="str">
        <f t="shared" si="30"/>
        <v>TAK</v>
      </c>
      <c r="K290" s="9">
        <v>-3.9399999999999998E-4</v>
      </c>
      <c r="L290" s="9">
        <v>9.0600000000000001E-4</v>
      </c>
      <c r="M290" s="9">
        <v>9.9999999999999995E-7</v>
      </c>
      <c r="N290" s="1">
        <v>226</v>
      </c>
      <c r="O290" s="12">
        <v>43</v>
      </c>
      <c r="P290" s="18" t="str">
        <f t="shared" si="31"/>
        <v>TAK</v>
      </c>
      <c r="Q290" s="15">
        <v>1.0702100000000001</v>
      </c>
      <c r="R290" s="1">
        <v>-0.52631600000000001</v>
      </c>
      <c r="S290" s="1">
        <v>0.87743899999999997</v>
      </c>
      <c r="T290" s="1">
        <v>751</v>
      </c>
      <c r="U290" s="1">
        <v>50</v>
      </c>
      <c r="V290" s="12">
        <v>50</v>
      </c>
      <c r="W290" s="18" t="str">
        <f t="shared" si="32"/>
        <v>NIE</v>
      </c>
    </row>
    <row r="291" spans="1:23" ht="15" thickBot="1" x14ac:dyDescent="0.35">
      <c r="A291" s="54"/>
      <c r="B291" s="39">
        <v>87</v>
      </c>
      <c r="C291" s="15">
        <v>1.883367</v>
      </c>
      <c r="D291" s="47">
        <v>0.505768</v>
      </c>
      <c r="E291" s="9">
        <v>1.74716</v>
      </c>
      <c r="F291" s="1">
        <v>-0.86975999999999998</v>
      </c>
      <c r="G291" s="1">
        <v>0.29865399999999998</v>
      </c>
      <c r="H291" s="1">
        <v>421</v>
      </c>
      <c r="I291" s="12">
        <v>28</v>
      </c>
      <c r="J291" s="18" t="str">
        <f t="shared" si="30"/>
        <v>NIE</v>
      </c>
      <c r="K291" s="9">
        <v>1.7475430000000001</v>
      </c>
      <c r="L291" s="9">
        <v>-0.87244500000000003</v>
      </c>
      <c r="M291" s="9">
        <v>0.29864000000000002</v>
      </c>
      <c r="N291" s="1">
        <v>196</v>
      </c>
      <c r="O291" s="12">
        <v>37</v>
      </c>
      <c r="P291" s="18" t="str">
        <f t="shared" si="31"/>
        <v>NIE</v>
      </c>
      <c r="Q291" s="15">
        <v>1.7488349999999999</v>
      </c>
      <c r="R291" s="1">
        <v>-0.86500600000000005</v>
      </c>
      <c r="S291" s="1">
        <v>0.29873699999999997</v>
      </c>
      <c r="T291" s="1">
        <v>721</v>
      </c>
      <c r="U291" s="1">
        <v>48</v>
      </c>
      <c r="V291" s="12">
        <v>48</v>
      </c>
      <c r="W291" s="18" t="str">
        <f t="shared" si="32"/>
        <v>NIE</v>
      </c>
    </row>
    <row r="292" spans="1:23" ht="15" thickBot="1" x14ac:dyDescent="0.35">
      <c r="A292" s="54"/>
      <c r="B292" s="39">
        <v>88</v>
      </c>
      <c r="C292" s="15">
        <v>0.80861400000000005</v>
      </c>
      <c r="D292" s="47">
        <v>1.3330420000000001</v>
      </c>
      <c r="E292" s="9">
        <v>-1.7600000000000001E-3</v>
      </c>
      <c r="F292" s="1">
        <v>4.2490000000000002E-3</v>
      </c>
      <c r="G292" s="1">
        <v>1.7E-5</v>
      </c>
      <c r="H292" s="1">
        <v>451</v>
      </c>
      <c r="I292" s="12">
        <v>30</v>
      </c>
      <c r="J292" s="18" t="str">
        <f t="shared" si="30"/>
        <v>TAK</v>
      </c>
      <c r="K292" s="9">
        <v>-2.6499999999999999E-4</v>
      </c>
      <c r="L292" s="9">
        <v>7.5299999999999998E-4</v>
      </c>
      <c r="M292" s="9">
        <v>9.9999999999999995E-7</v>
      </c>
      <c r="N292" s="1">
        <v>226</v>
      </c>
      <c r="O292" s="12">
        <v>43</v>
      </c>
      <c r="P292" s="18" t="str">
        <f t="shared" si="31"/>
        <v>TAK</v>
      </c>
      <c r="Q292" s="15">
        <v>1.069536</v>
      </c>
      <c r="R292" s="1">
        <v>-0.52652200000000005</v>
      </c>
      <c r="S292" s="1">
        <v>0.87742699999999996</v>
      </c>
      <c r="T292" s="1">
        <v>766</v>
      </c>
      <c r="U292" s="1">
        <v>51</v>
      </c>
      <c r="V292" s="12">
        <v>51</v>
      </c>
      <c r="W292" s="18" t="str">
        <f t="shared" si="32"/>
        <v>NIE</v>
      </c>
    </row>
    <row r="293" spans="1:23" ht="15" thickBot="1" x14ac:dyDescent="0.35">
      <c r="A293" s="54"/>
      <c r="B293" s="39">
        <v>89</v>
      </c>
      <c r="C293" s="15">
        <v>5.5912999999999997E-2</v>
      </c>
      <c r="D293" s="47">
        <v>1.169654</v>
      </c>
      <c r="E293" s="9">
        <v>-1.9849999999999998E-3</v>
      </c>
      <c r="F293" s="1">
        <v>4.7920000000000003E-3</v>
      </c>
      <c r="G293" s="1">
        <v>2.0999999999999999E-5</v>
      </c>
      <c r="H293" s="1">
        <v>466</v>
      </c>
      <c r="I293" s="12">
        <v>31</v>
      </c>
      <c r="J293" s="18" t="str">
        <f t="shared" si="30"/>
        <v>TAK</v>
      </c>
      <c r="K293" s="9">
        <v>-5.8E-4</v>
      </c>
      <c r="L293" s="9">
        <v>1.346E-3</v>
      </c>
      <c r="M293" s="9">
        <v>1.9999999999999999E-6</v>
      </c>
      <c r="N293" s="1">
        <v>211</v>
      </c>
      <c r="O293" s="12">
        <v>40</v>
      </c>
      <c r="P293" s="18" t="str">
        <f t="shared" si="31"/>
        <v>TAK</v>
      </c>
      <c r="Q293" s="15">
        <v>4.0200000000000001E-4</v>
      </c>
      <c r="R293" s="1">
        <v>8.4469999999999996E-3</v>
      </c>
      <c r="S293" s="1">
        <v>7.4999999999999993E-5</v>
      </c>
      <c r="T293" s="1">
        <v>706</v>
      </c>
      <c r="U293" s="1">
        <v>47</v>
      </c>
      <c r="V293" s="12">
        <v>47</v>
      </c>
      <c r="W293" s="18" t="str">
        <f t="shared" si="32"/>
        <v>TAK</v>
      </c>
    </row>
    <row r="294" spans="1:23" ht="15" thickBot="1" x14ac:dyDescent="0.35">
      <c r="A294" s="54"/>
      <c r="B294" s="39">
        <v>90</v>
      </c>
      <c r="C294" s="15">
        <v>0.32286900000000002</v>
      </c>
      <c r="D294" s="47">
        <v>1.3190109999999999</v>
      </c>
      <c r="E294" s="9">
        <v>-2.0339999999999998E-3</v>
      </c>
      <c r="F294" s="1">
        <v>4.9109999999999996E-3</v>
      </c>
      <c r="G294" s="1">
        <v>2.1999999999999999E-5</v>
      </c>
      <c r="H294" s="1">
        <v>466</v>
      </c>
      <c r="I294" s="12">
        <v>31</v>
      </c>
      <c r="J294" s="18" t="str">
        <f t="shared" si="30"/>
        <v>TAK</v>
      </c>
      <c r="K294" s="9">
        <v>-4.6200000000000001E-4</v>
      </c>
      <c r="L294" s="9">
        <v>1.426E-3</v>
      </c>
      <c r="M294" s="9">
        <v>1.9999999999999999E-6</v>
      </c>
      <c r="N294" s="1">
        <v>211</v>
      </c>
      <c r="O294" s="12">
        <v>40</v>
      </c>
      <c r="P294" s="18" t="str">
        <f t="shared" si="31"/>
        <v>TAK</v>
      </c>
      <c r="Q294" s="15">
        <v>1.7960000000000001E-3</v>
      </c>
      <c r="R294" s="1">
        <v>8.7279999999999996E-3</v>
      </c>
      <c r="S294" s="1">
        <v>9.7999999999999997E-5</v>
      </c>
      <c r="T294" s="1">
        <v>721</v>
      </c>
      <c r="U294" s="1">
        <v>48</v>
      </c>
      <c r="V294" s="12">
        <v>48</v>
      </c>
      <c r="W294" s="18" t="str">
        <f t="shared" si="32"/>
        <v>TAK</v>
      </c>
    </row>
    <row r="295" spans="1:23" ht="15" thickBot="1" x14ac:dyDescent="0.35">
      <c r="A295" s="54"/>
      <c r="B295" s="39">
        <v>91</v>
      </c>
      <c r="C295" s="15">
        <v>0.95847800000000005</v>
      </c>
      <c r="D295" s="47">
        <v>1.3378730000000001</v>
      </c>
      <c r="E295" s="9">
        <v>-1.9469999999999999E-3</v>
      </c>
      <c r="F295" s="1">
        <v>4.7000000000000002E-3</v>
      </c>
      <c r="G295" s="1">
        <v>2.0999999999999999E-5</v>
      </c>
      <c r="H295" s="1">
        <v>421</v>
      </c>
      <c r="I295" s="12">
        <v>28</v>
      </c>
      <c r="J295" s="18" t="str">
        <f t="shared" si="30"/>
        <v>TAK</v>
      </c>
      <c r="K295" s="9">
        <v>-5.0000000000000002E-5</v>
      </c>
      <c r="L295" s="9">
        <v>8.6600000000000002E-4</v>
      </c>
      <c r="M295" s="9">
        <v>9.9999999999999995E-7</v>
      </c>
      <c r="N295" s="1">
        <v>211</v>
      </c>
      <c r="O295" s="12">
        <v>40</v>
      </c>
      <c r="P295" s="18" t="str">
        <f t="shared" si="31"/>
        <v>TAK</v>
      </c>
      <c r="Q295" s="15">
        <v>1.070041</v>
      </c>
      <c r="R295" s="1">
        <v>-0.52639499999999995</v>
      </c>
      <c r="S295" s="1">
        <v>0.87743499999999996</v>
      </c>
      <c r="T295" s="1">
        <v>766</v>
      </c>
      <c r="U295" s="1">
        <v>51</v>
      </c>
      <c r="V295" s="12">
        <v>51</v>
      </c>
      <c r="W295" s="18" t="str">
        <f t="shared" si="32"/>
        <v>NIE</v>
      </c>
    </row>
    <row r="296" spans="1:23" ht="15" thickBot="1" x14ac:dyDescent="0.35">
      <c r="A296" s="54"/>
      <c r="B296" s="39">
        <v>92</v>
      </c>
      <c r="C296" s="15">
        <v>0.45959299999999997</v>
      </c>
      <c r="D296" s="47">
        <v>0.87936000000000003</v>
      </c>
      <c r="E296" s="9">
        <v>-1.918E-3</v>
      </c>
      <c r="F296" s="1">
        <v>4.6309999999999997E-3</v>
      </c>
      <c r="G296" s="1">
        <v>2.0000000000000002E-5</v>
      </c>
      <c r="H296" s="1">
        <v>421</v>
      </c>
      <c r="I296" s="12">
        <v>28</v>
      </c>
      <c r="J296" s="18" t="str">
        <f t="shared" si="30"/>
        <v>TAK</v>
      </c>
      <c r="K296" s="9">
        <v>-2.4600000000000002E-4</v>
      </c>
      <c r="L296" s="9">
        <v>9.4300000000000004E-4</v>
      </c>
      <c r="M296" s="9">
        <v>9.9999999999999995E-7</v>
      </c>
      <c r="N296" s="1">
        <v>211</v>
      </c>
      <c r="O296" s="12">
        <v>40</v>
      </c>
      <c r="P296" s="18" t="str">
        <f t="shared" si="31"/>
        <v>TAK</v>
      </c>
      <c r="Q296" s="15">
        <v>2.8500000000000001E-3</v>
      </c>
      <c r="R296" s="1">
        <v>8.4550000000000007E-3</v>
      </c>
      <c r="S296" s="1">
        <v>1.12E-4</v>
      </c>
      <c r="T296" s="1">
        <v>676</v>
      </c>
      <c r="U296" s="1">
        <v>45</v>
      </c>
      <c r="V296" s="12">
        <v>45</v>
      </c>
      <c r="W296" s="18" t="str">
        <f t="shared" si="32"/>
        <v>TAK</v>
      </c>
    </row>
    <row r="297" spans="1:23" ht="15" thickBot="1" x14ac:dyDescent="0.35">
      <c r="A297" s="54"/>
      <c r="B297" s="39">
        <v>93</v>
      </c>
      <c r="C297" s="15">
        <v>0.35348200000000002</v>
      </c>
      <c r="D297" s="47">
        <v>0.87163400000000002</v>
      </c>
      <c r="E297" s="9">
        <v>-1.7340000000000001E-3</v>
      </c>
      <c r="F297" s="1">
        <v>4.1859999999999996E-3</v>
      </c>
      <c r="G297" s="1">
        <v>1.5999999999999999E-5</v>
      </c>
      <c r="H297" s="1">
        <v>436</v>
      </c>
      <c r="I297" s="12">
        <v>29</v>
      </c>
      <c r="J297" s="18" t="str">
        <f t="shared" si="30"/>
        <v>TAK</v>
      </c>
      <c r="K297" s="9">
        <v>-3.01E-4</v>
      </c>
      <c r="L297" s="9">
        <v>9.77E-4</v>
      </c>
      <c r="M297" s="9">
        <v>9.9999999999999995E-7</v>
      </c>
      <c r="N297" s="1">
        <v>211</v>
      </c>
      <c r="O297" s="12">
        <v>40</v>
      </c>
      <c r="P297" s="18" t="str">
        <f t="shared" si="31"/>
        <v>TAK</v>
      </c>
      <c r="Q297" s="15">
        <v>2.6029999999999998E-3</v>
      </c>
      <c r="R297" s="1">
        <v>8.0370000000000007E-3</v>
      </c>
      <c r="S297" s="1">
        <v>9.8999999999999994E-5</v>
      </c>
      <c r="T297" s="1">
        <v>676</v>
      </c>
      <c r="U297" s="1">
        <v>45</v>
      </c>
      <c r="V297" s="12">
        <v>45</v>
      </c>
      <c r="W297" s="18" t="str">
        <f t="shared" si="32"/>
        <v>TAK</v>
      </c>
    </row>
    <row r="298" spans="1:23" ht="15" thickBot="1" x14ac:dyDescent="0.35">
      <c r="A298" s="54"/>
      <c r="B298" s="39">
        <v>94</v>
      </c>
      <c r="C298" s="15">
        <v>0.94429200000000002</v>
      </c>
      <c r="D298" s="47">
        <v>0.56908199999999998</v>
      </c>
      <c r="E298" s="9">
        <v>1.866E-3</v>
      </c>
      <c r="F298" s="1">
        <v>-4.4289999999999998E-3</v>
      </c>
      <c r="G298" s="1">
        <v>1.8E-5</v>
      </c>
      <c r="H298" s="1">
        <v>301</v>
      </c>
      <c r="I298" s="12">
        <v>20</v>
      </c>
      <c r="J298" s="18" t="str">
        <f t="shared" si="30"/>
        <v>TAK</v>
      </c>
      <c r="K298" s="9">
        <v>4.7600000000000002E-4</v>
      </c>
      <c r="L298" s="9">
        <v>-1.428E-3</v>
      </c>
      <c r="M298" s="9">
        <v>1.9999999999999999E-6</v>
      </c>
      <c r="N298" s="1">
        <v>181</v>
      </c>
      <c r="O298" s="12">
        <v>34</v>
      </c>
      <c r="P298" s="18" t="str">
        <f t="shared" si="31"/>
        <v>TAK</v>
      </c>
      <c r="Q298" s="15">
        <v>1.069598</v>
      </c>
      <c r="R298" s="1">
        <v>-0.52644800000000003</v>
      </c>
      <c r="S298" s="1">
        <v>0.87742900000000001</v>
      </c>
      <c r="T298" s="1">
        <v>691</v>
      </c>
      <c r="U298" s="1">
        <v>46</v>
      </c>
      <c r="V298" s="12">
        <v>46</v>
      </c>
      <c r="W298" s="18" t="str">
        <f t="shared" si="32"/>
        <v>NIE</v>
      </c>
    </row>
    <row r="299" spans="1:23" ht="15" thickBot="1" x14ac:dyDescent="0.35">
      <c r="A299" s="54"/>
      <c r="B299" s="39">
        <v>95</v>
      </c>
      <c r="C299" s="15">
        <v>1.4524269999999999</v>
      </c>
      <c r="D299" s="47">
        <v>0.11952</v>
      </c>
      <c r="E299" s="9">
        <v>1.7471829999999999</v>
      </c>
      <c r="F299" s="1">
        <v>-0.86999199999999999</v>
      </c>
      <c r="G299" s="1">
        <v>0.29865199999999997</v>
      </c>
      <c r="H299" s="1">
        <v>406</v>
      </c>
      <c r="I299" s="12">
        <v>27</v>
      </c>
      <c r="J299" s="18" t="str">
        <f t="shared" si="30"/>
        <v>NIE</v>
      </c>
      <c r="K299" s="9">
        <v>1.7475130000000001</v>
      </c>
      <c r="L299" s="9">
        <v>-0.872807</v>
      </c>
      <c r="M299" s="9">
        <v>0.29863899999999999</v>
      </c>
      <c r="N299" s="1">
        <v>196</v>
      </c>
      <c r="O299" s="12">
        <v>37</v>
      </c>
      <c r="P299" s="18" t="str">
        <f t="shared" si="31"/>
        <v>NIE</v>
      </c>
      <c r="Q299" s="15">
        <v>1.0731390000000001</v>
      </c>
      <c r="R299" s="1">
        <v>-0.52727800000000002</v>
      </c>
      <c r="S299" s="1">
        <v>0.87743300000000002</v>
      </c>
      <c r="T299" s="1">
        <v>646</v>
      </c>
      <c r="U299" s="1">
        <v>43</v>
      </c>
      <c r="V299" s="12">
        <v>43</v>
      </c>
      <c r="W299" s="18" t="str">
        <f t="shared" si="32"/>
        <v>NIE</v>
      </c>
    </row>
    <row r="300" spans="1:23" ht="15" thickBot="1" x14ac:dyDescent="0.35">
      <c r="A300" s="54"/>
      <c r="B300" s="39">
        <v>96</v>
      </c>
      <c r="C300" s="15">
        <v>1.7537879999999999</v>
      </c>
      <c r="D300" s="47">
        <v>0.91609200000000002</v>
      </c>
      <c r="E300" s="9">
        <v>1.747139</v>
      </c>
      <c r="F300" s="1">
        <v>-0.86954799999999999</v>
      </c>
      <c r="G300" s="1">
        <v>0.29865599999999998</v>
      </c>
      <c r="H300" s="1">
        <v>436</v>
      </c>
      <c r="I300" s="12">
        <v>29</v>
      </c>
      <c r="J300" s="18" t="str">
        <f t="shared" si="30"/>
        <v>NIE</v>
      </c>
      <c r="K300" s="9">
        <v>1.747352</v>
      </c>
      <c r="L300" s="9">
        <v>-0.87257399999999996</v>
      </c>
      <c r="M300" s="9">
        <v>0.29864000000000002</v>
      </c>
      <c r="N300" s="1">
        <v>196</v>
      </c>
      <c r="O300" s="12">
        <v>37</v>
      </c>
      <c r="P300" s="18" t="str">
        <f t="shared" si="31"/>
        <v>NIE</v>
      </c>
      <c r="Q300" s="15">
        <v>1.747582</v>
      </c>
      <c r="R300" s="1">
        <v>-0.86528099999999997</v>
      </c>
      <c r="S300" s="1">
        <v>0.298711</v>
      </c>
      <c r="T300" s="1">
        <v>766</v>
      </c>
      <c r="U300" s="1">
        <v>51</v>
      </c>
      <c r="V300" s="12">
        <v>51</v>
      </c>
      <c r="W300" s="18" t="str">
        <f t="shared" si="32"/>
        <v>NIE</v>
      </c>
    </row>
    <row r="301" spans="1:23" ht="15" thickBot="1" x14ac:dyDescent="0.35">
      <c r="A301" s="54"/>
      <c r="B301" s="39">
        <v>97</v>
      </c>
      <c r="C301" s="15">
        <v>1.416201</v>
      </c>
      <c r="D301" s="47">
        <v>0.51107400000000003</v>
      </c>
      <c r="E301" s="9">
        <v>1.7472000000000001</v>
      </c>
      <c r="F301" s="1">
        <v>-0.870166</v>
      </c>
      <c r="G301" s="1">
        <v>0.298651</v>
      </c>
      <c r="H301" s="1">
        <v>436</v>
      </c>
      <c r="I301" s="12">
        <v>29</v>
      </c>
      <c r="J301" s="18" t="str">
        <f t="shared" si="30"/>
        <v>NIE</v>
      </c>
      <c r="K301" s="9">
        <v>1.7475989999999999</v>
      </c>
      <c r="L301" s="9">
        <v>-0.87507699999999999</v>
      </c>
      <c r="M301" s="9">
        <v>0.29864000000000002</v>
      </c>
      <c r="N301" s="1">
        <v>181</v>
      </c>
      <c r="O301" s="12">
        <v>34</v>
      </c>
      <c r="P301" s="18" t="str">
        <f t="shared" si="31"/>
        <v>NIE</v>
      </c>
      <c r="Q301" s="15">
        <v>1.072719</v>
      </c>
      <c r="R301" s="1">
        <v>-0.52658199999999999</v>
      </c>
      <c r="S301" s="1">
        <v>0.87744699999999998</v>
      </c>
      <c r="T301" s="1">
        <v>691</v>
      </c>
      <c r="U301" s="1">
        <v>46</v>
      </c>
      <c r="V301" s="12">
        <v>46</v>
      </c>
      <c r="W301" s="18" t="str">
        <f t="shared" si="32"/>
        <v>NIE</v>
      </c>
    </row>
    <row r="302" spans="1:23" ht="15" thickBot="1" x14ac:dyDescent="0.35">
      <c r="A302" s="54"/>
      <c r="B302" s="39">
        <v>98</v>
      </c>
      <c r="C302" s="15">
        <v>0.87592599999999998</v>
      </c>
      <c r="D302" s="47">
        <v>1.763968</v>
      </c>
      <c r="E302" s="9">
        <v>-1.792E-3</v>
      </c>
      <c r="F302" s="1">
        <v>4.326E-3</v>
      </c>
      <c r="G302" s="1">
        <v>1.7E-5</v>
      </c>
      <c r="H302" s="1">
        <v>481</v>
      </c>
      <c r="I302" s="12">
        <v>32</v>
      </c>
      <c r="J302" s="18" t="str">
        <f t="shared" si="30"/>
        <v>TAK</v>
      </c>
      <c r="K302" s="9">
        <v>-3.97E-4</v>
      </c>
      <c r="L302" s="9">
        <v>1.039E-3</v>
      </c>
      <c r="M302" s="9">
        <v>9.9999999999999995E-7</v>
      </c>
      <c r="N302" s="1">
        <v>226</v>
      </c>
      <c r="O302" s="12">
        <v>43</v>
      </c>
      <c r="P302" s="18" t="str">
        <f t="shared" si="31"/>
        <v>TAK</v>
      </c>
      <c r="Q302" s="15">
        <v>1.0698859999999999</v>
      </c>
      <c r="R302" s="1">
        <v>-0.52646999999999999</v>
      </c>
      <c r="S302" s="1">
        <v>0.87743199999999999</v>
      </c>
      <c r="T302" s="1">
        <v>796</v>
      </c>
      <c r="U302" s="1">
        <v>53</v>
      </c>
      <c r="V302" s="12">
        <v>53</v>
      </c>
      <c r="W302" s="18" t="str">
        <f t="shared" si="32"/>
        <v>NIE</v>
      </c>
    </row>
    <row r="303" spans="1:23" ht="15" thickBot="1" x14ac:dyDescent="0.35">
      <c r="A303" s="54"/>
      <c r="B303" s="39">
        <v>99</v>
      </c>
      <c r="C303" s="15">
        <v>0.72821400000000003</v>
      </c>
      <c r="D303" s="47">
        <v>0.28805599999999998</v>
      </c>
      <c r="E303" s="9">
        <v>1.9530000000000001E-3</v>
      </c>
      <c r="F303" s="1">
        <v>-4.653E-3</v>
      </c>
      <c r="G303" s="1">
        <v>2.0000000000000002E-5</v>
      </c>
      <c r="H303" s="1">
        <v>286</v>
      </c>
      <c r="I303" s="12">
        <v>19</v>
      </c>
      <c r="J303" s="18" t="str">
        <f t="shared" si="30"/>
        <v>TAK</v>
      </c>
      <c r="K303" s="9">
        <v>1.026E-3</v>
      </c>
      <c r="L303" s="9">
        <v>-1.591E-3</v>
      </c>
      <c r="M303" s="9">
        <v>3.0000000000000001E-6</v>
      </c>
      <c r="N303" s="1">
        <v>181</v>
      </c>
      <c r="O303" s="12">
        <v>34</v>
      </c>
      <c r="P303" s="18" t="str">
        <f t="shared" si="31"/>
        <v>TAK</v>
      </c>
      <c r="Q303" s="15">
        <v>1.067849</v>
      </c>
      <c r="R303" s="1">
        <v>-0.52676000000000001</v>
      </c>
      <c r="S303" s="1">
        <v>0.87739699999999998</v>
      </c>
      <c r="T303" s="1">
        <v>646</v>
      </c>
      <c r="U303" s="1">
        <v>43</v>
      </c>
      <c r="V303" s="12">
        <v>43</v>
      </c>
      <c r="W303" s="18" t="str">
        <f t="shared" si="32"/>
        <v>NIE</v>
      </c>
    </row>
    <row r="304" spans="1:23" ht="15" thickBot="1" x14ac:dyDescent="0.35">
      <c r="A304" s="56"/>
      <c r="B304" s="40">
        <v>100</v>
      </c>
      <c r="C304" s="16">
        <v>0.66249100000000005</v>
      </c>
      <c r="D304" s="49">
        <v>0.33302799999999999</v>
      </c>
      <c r="E304" s="10">
        <v>1.732E-3</v>
      </c>
      <c r="F304" s="3">
        <v>-2.575E-3</v>
      </c>
      <c r="G304" s="3">
        <v>7.9999999999999996E-6</v>
      </c>
      <c r="H304" s="3">
        <v>196</v>
      </c>
      <c r="I304" s="13">
        <v>13</v>
      </c>
      <c r="J304" s="18" t="str">
        <f t="shared" si="30"/>
        <v>TAK</v>
      </c>
      <c r="K304" s="10">
        <v>3.9800000000000002E-4</v>
      </c>
      <c r="L304" s="10">
        <v>-1.3290000000000001E-3</v>
      </c>
      <c r="M304" s="10">
        <v>1.9999999999999999E-6</v>
      </c>
      <c r="N304" s="3">
        <v>166</v>
      </c>
      <c r="O304" s="13">
        <v>31</v>
      </c>
      <c r="P304" s="18" t="str">
        <f t="shared" si="31"/>
        <v>TAK</v>
      </c>
      <c r="Q304" s="16">
        <v>1.0680419999999999</v>
      </c>
      <c r="R304" s="3">
        <v>-0.52744999999999997</v>
      </c>
      <c r="S304" s="3">
        <v>0.87739100000000003</v>
      </c>
      <c r="T304" s="3">
        <v>661</v>
      </c>
      <c r="U304" s="3">
        <v>44</v>
      </c>
      <c r="V304" s="13">
        <v>44</v>
      </c>
      <c r="W304" s="18" t="str">
        <f t="shared" si="32"/>
        <v>NIE</v>
      </c>
    </row>
    <row r="305" spans="3:23" x14ac:dyDescent="0.3">
      <c r="C305" s="83">
        <f>AVERAGEIF($J205:$J304, "TAK", C205:C304)</f>
        <v>0.70296780645161261</v>
      </c>
      <c r="D305" s="83">
        <f t="shared" ref="D305" si="33">AVERAGEIF($J205:$J304, "TAK", D205:D304)</f>
        <v>0.86543953225806447</v>
      </c>
      <c r="E305" s="83">
        <f t="shared" ref="E305" si="34">AVERAGEIF($J205:$J304, "TAK", E205:E304)</f>
        <v>-3.166290322580644E-4</v>
      </c>
      <c r="F305" s="83">
        <f t="shared" ref="F305" si="35">AVERAGEIF($J205:$J304, "TAK", F205:F304)</f>
        <v>8.547258064516126E-4</v>
      </c>
      <c r="G305" s="83">
        <f t="shared" ref="G305" si="36">AVERAGEIF($J205:$J304, "TAK", G205:G304)</f>
        <v>1.8499999999999999E-5</v>
      </c>
      <c r="H305" s="83">
        <f t="shared" ref="H305" si="37">AVERAGEIF($J205:$J304, "TAK", H205:H304)</f>
        <v>395.83870967741933</v>
      </c>
      <c r="I305" s="83">
        <f t="shared" ref="I305" si="38">AVERAGEIF($J205:$J304, "TAK", I205:I304)</f>
        <v>26.322580645161292</v>
      </c>
      <c r="J305" s="83">
        <f>COUNTIF(J205:J304, "TAK")</f>
        <v>62</v>
      </c>
      <c r="K305" s="83">
        <f>AVERAGEIF($P205:$P304, "TAK", K205:K304)</f>
        <v>-4.7527272727272746E-5</v>
      </c>
      <c r="L305" s="83">
        <f t="shared" ref="L305" si="39">AVERAGEIF($P205:$P304, "TAK", L205:L304)</f>
        <v>3.6803636363636356E-4</v>
      </c>
      <c r="M305" s="83">
        <f t="shared" ref="M305" si="40">AVERAGEIF($P205:$P304, "TAK", M205:M304)</f>
        <v>1.3999999999999991E-6</v>
      </c>
      <c r="N305" s="83">
        <f t="shared" ref="N305" si="41">AVERAGEIF($P205:$P304, "TAK", N205:N304)</f>
        <v>217</v>
      </c>
      <c r="O305" s="83">
        <f t="shared" ref="O305" si="42">AVERAGEIF($P205:$P304, "TAK", O205:O304)</f>
        <v>41.2</v>
      </c>
      <c r="P305" s="83">
        <f>COUNTIF(P205:P304, "TAK")</f>
        <v>55</v>
      </c>
      <c r="Q305" s="83">
        <f>AVERAGEIF($W205:$W304, "TAK", Q205:Q304)</f>
        <v>2.6184999999999997E-3</v>
      </c>
      <c r="R305" s="83">
        <f t="shared" ref="R305" si="43">AVERAGEIF($W205:$W304, "TAK", R205:R304)</f>
        <v>7.7786249999999982E-3</v>
      </c>
      <c r="S305" s="83">
        <f t="shared" ref="S305" si="44">AVERAGEIF($W205:$W304, "TAK", S205:S304)</f>
        <v>1.0329166666666667E-4</v>
      </c>
      <c r="T305" s="83">
        <f t="shared" ref="T305" si="45">AVERAGEIF($W205:$W304, "TAK", T205:T304)</f>
        <v>647.875</v>
      </c>
      <c r="U305" s="83">
        <f t="shared" ref="U305" si="46">AVERAGEIF($W205:$W304, "TAK", U205:U304)</f>
        <v>43.125</v>
      </c>
      <c r="V305" s="83">
        <f t="shared" ref="V305" si="47">AVERAGEIF($W205:$W304, "TAK", V205:V304)</f>
        <v>43.125</v>
      </c>
      <c r="W305" s="83">
        <f>COUNTIF(W205:W304, "TAK")</f>
        <v>24</v>
      </c>
    </row>
  </sheetData>
  <mergeCells count="10">
    <mergeCell ref="A3:A102"/>
    <mergeCell ref="A104:A203"/>
    <mergeCell ref="A205:A304"/>
    <mergeCell ref="D1:D2"/>
    <mergeCell ref="Q1:W1"/>
    <mergeCell ref="K1:P1"/>
    <mergeCell ref="A1:A2"/>
    <mergeCell ref="E1:J1"/>
    <mergeCell ref="C1:C2"/>
    <mergeCell ref="B1:B2"/>
  </mergeCells>
  <conditionalFormatting sqref="E1:W102 E104:W203 E205:W304 E306:W1048576">
    <cfRule type="containsText" dxfId="2" priority="3" operator="containsText" text="TAK">
      <formula>NOT(ISERROR(SEARCH("TAK",E1)))</formula>
    </cfRule>
  </conditionalFormatting>
  <conditionalFormatting sqref="Y10">
    <cfRule type="containsText" dxfId="1" priority="2" operator="containsText" text="NIE">
      <formula>NOT(ISERROR(SEARCH("NIE",Y10)))</formula>
    </cfRule>
  </conditionalFormatting>
  <conditionalFormatting sqref="J1:J102 P1:P102 W1:W102 W104:W203 P104:P203 J104:J203 J205:J304 P205:P304 W205:W304 W306:W1048576 P306:P1048576 J306:J1048576">
    <cfRule type="containsText" dxfId="0" priority="1" operator="containsText" text="NIE">
      <formula>NOT(ISERROR(SEARCH("NIE",J1)))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"/>
  <sheetViews>
    <sheetView workbookViewId="0">
      <selection activeCell="K18" sqref="K18"/>
    </sheetView>
  </sheetViews>
  <sheetFormatPr defaultRowHeight="14.4" x14ac:dyDescent="0.3"/>
  <cols>
    <col min="1" max="1" width="8.6640625" style="25" customWidth="1"/>
    <col min="2" max="4" width="15.6640625" customWidth="1"/>
    <col min="5" max="6" width="8.6640625" customWidth="1"/>
    <col min="7" max="7" width="16.6640625" customWidth="1"/>
    <col min="8" max="10" width="15.6640625" customWidth="1"/>
    <col min="11" max="12" width="8.6640625" customWidth="1"/>
    <col min="13" max="13" width="16.6640625" customWidth="1"/>
    <col min="14" max="16" width="15.6640625" customWidth="1"/>
    <col min="17" max="19" width="8.6640625" customWidth="1"/>
    <col min="20" max="20" width="16.6640625" customWidth="1"/>
  </cols>
  <sheetData>
    <row r="1" spans="1:20" ht="30" customHeight="1" x14ac:dyDescent="0.3">
      <c r="A1" s="65" t="s">
        <v>8</v>
      </c>
      <c r="B1" s="67" t="s">
        <v>6</v>
      </c>
      <c r="C1" s="68"/>
      <c r="D1" s="68"/>
      <c r="E1" s="68"/>
      <c r="F1" s="68"/>
      <c r="G1" s="58"/>
      <c r="H1" s="64" t="s">
        <v>7</v>
      </c>
      <c r="I1" s="64"/>
      <c r="J1" s="64"/>
      <c r="K1" s="61"/>
      <c r="L1" s="62"/>
      <c r="M1" s="62"/>
      <c r="N1" s="60" t="s">
        <v>11</v>
      </c>
      <c r="O1" s="61"/>
      <c r="P1" s="61"/>
      <c r="Q1" s="61"/>
      <c r="R1" s="61"/>
      <c r="S1" s="62"/>
      <c r="T1" s="63"/>
    </row>
    <row r="2" spans="1:20" ht="30" customHeight="1" thickBot="1" x14ac:dyDescent="0.35">
      <c r="A2" s="66"/>
      <c r="B2" s="22" t="s">
        <v>3</v>
      </c>
      <c r="C2" s="6" t="s">
        <v>4</v>
      </c>
      <c r="D2" s="23" t="s">
        <v>5</v>
      </c>
      <c r="E2" s="23" t="s">
        <v>9</v>
      </c>
      <c r="F2" s="23" t="s">
        <v>10</v>
      </c>
      <c r="G2" s="26" t="s">
        <v>22</v>
      </c>
      <c r="H2" s="22" t="s">
        <v>3</v>
      </c>
      <c r="I2" s="6" t="s">
        <v>4</v>
      </c>
      <c r="J2" s="23" t="s">
        <v>5</v>
      </c>
      <c r="K2" s="23" t="s">
        <v>9</v>
      </c>
      <c r="L2" s="23" t="s">
        <v>10</v>
      </c>
      <c r="M2" s="26" t="s">
        <v>22</v>
      </c>
      <c r="N2" s="27" t="s">
        <v>3</v>
      </c>
      <c r="O2" s="23" t="s">
        <v>4</v>
      </c>
      <c r="P2" s="23" t="s">
        <v>5</v>
      </c>
      <c r="Q2" s="23" t="s">
        <v>9</v>
      </c>
      <c r="R2" s="23" t="s">
        <v>10</v>
      </c>
      <c r="S2" s="23" t="s">
        <v>12</v>
      </c>
      <c r="T2" s="7" t="s">
        <v>22</v>
      </c>
    </row>
    <row r="3" spans="1:20" x14ac:dyDescent="0.3">
      <c r="A3" s="29">
        <v>0.05</v>
      </c>
      <c r="B3" s="19">
        <f>'Tabela 1'!E103</f>
        <v>-2.2352941176470601E-3</v>
      </c>
      <c r="C3" s="19">
        <f>'Tabela 1'!F103</f>
        <v>6.2816764705882341E-3</v>
      </c>
      <c r="D3" s="19">
        <f>'Tabela 1'!G103</f>
        <v>9.2176470588235324E-5</v>
      </c>
      <c r="E3" s="19">
        <f>'Tabela 1'!H103</f>
        <v>1</v>
      </c>
      <c r="F3" s="19">
        <f>'Tabela 1'!I103</f>
        <v>46.455882352941174</v>
      </c>
      <c r="G3" s="19">
        <f>'Tabela 1'!J103</f>
        <v>68</v>
      </c>
      <c r="H3" s="19">
        <f>'Tabela 1'!K103</f>
        <v>-1.8059677419354837E-4</v>
      </c>
      <c r="I3" s="19">
        <f>'Tabela 1'!L103</f>
        <v>8.4611290322580588E-4</v>
      </c>
      <c r="J3" s="19">
        <f>'Tabela 1'!M103</f>
        <v>2.8064516129032251E-6</v>
      </c>
      <c r="K3" s="19">
        <f>'Tabela 1'!N103</f>
        <v>1</v>
      </c>
      <c r="L3" s="19">
        <f>'Tabela 1'!O103</f>
        <v>54.854838709677416</v>
      </c>
      <c r="M3" s="19">
        <f>'Tabela 1'!P103</f>
        <v>62</v>
      </c>
      <c r="N3" s="19">
        <f>'Tabela 1'!Q103</f>
        <v>5.8207941176470568E-3</v>
      </c>
      <c r="O3" s="19">
        <f>'Tabela 1'!R103</f>
        <v>1.6171323529411766E-2</v>
      </c>
      <c r="P3" s="19">
        <f>'Tabela 1'!S103</f>
        <v>4.8094117647058817E-4</v>
      </c>
      <c r="Q3" s="19">
        <f>'Tabela 1'!T103</f>
        <v>1</v>
      </c>
      <c r="R3" s="19">
        <f>'Tabela 1'!U103</f>
        <v>74.029411764705884</v>
      </c>
      <c r="S3" s="19">
        <f>'Tabela 1'!V103</f>
        <v>74.029411764705884</v>
      </c>
      <c r="T3" s="19">
        <f>'Tabela 1'!W103</f>
        <v>34</v>
      </c>
    </row>
    <row r="4" spans="1:20" x14ac:dyDescent="0.3">
      <c r="A4" s="30">
        <v>0.25</v>
      </c>
      <c r="B4" s="9">
        <f>'Tabela 1'!E204</f>
        <v>-9.7215909090909088E-5</v>
      </c>
      <c r="C4" s="9">
        <f>'Tabela 1'!F204</f>
        <v>2.3482954545454537E-4</v>
      </c>
      <c r="D4" s="9">
        <f>'Tabela 1'!G204</f>
        <v>1.2159090909090887E-6</v>
      </c>
      <c r="E4" s="9">
        <f>'Tabela 1'!H204</f>
        <v>1</v>
      </c>
      <c r="F4" s="9">
        <f>'Tabela 1'!I204</f>
        <v>12.863636363636363</v>
      </c>
      <c r="G4" s="9">
        <f>'Tabela 1'!J204</f>
        <v>88</v>
      </c>
      <c r="H4" s="9">
        <f>'Tabela 1'!K204</f>
        <v>-7.6486486486486487E-6</v>
      </c>
      <c r="I4" s="9">
        <f>'Tabela 1'!L204</f>
        <v>8.951351351351354E-5</v>
      </c>
      <c r="J4" s="9">
        <f>'Tabela 1'!M204</f>
        <v>6.756756756756756E-8</v>
      </c>
      <c r="K4" s="9">
        <f>'Tabela 1'!N204</f>
        <v>1</v>
      </c>
      <c r="L4" s="9">
        <f>'Tabela 1'!O204</f>
        <v>25.216216216216218</v>
      </c>
      <c r="M4" s="9">
        <f>'Tabela 1'!P204</f>
        <v>74</v>
      </c>
      <c r="N4" s="9">
        <f>'Tabela 1'!Q204</f>
        <v>3.2860869565217387E-4</v>
      </c>
      <c r="O4" s="9">
        <f>'Tabela 1'!R204</f>
        <v>2.5734347826086952E-3</v>
      </c>
      <c r="P4" s="9">
        <f>'Tabela 1'!S204</f>
        <v>8.2173913043478291E-6</v>
      </c>
      <c r="Q4" s="9">
        <f>'Tabela 1'!T204</f>
        <v>1</v>
      </c>
      <c r="R4" s="9">
        <f>'Tabela 1'!U204</f>
        <v>21.478260869565219</v>
      </c>
      <c r="S4" s="9">
        <f>'Tabela 1'!V204</f>
        <v>21.478260869565219</v>
      </c>
      <c r="T4" s="9">
        <f>'Tabela 1'!W204</f>
        <v>23</v>
      </c>
    </row>
    <row r="5" spans="1:20" ht="15" thickBot="1" x14ac:dyDescent="0.35">
      <c r="A5" s="31" t="s">
        <v>13</v>
      </c>
      <c r="B5" s="10">
        <f>'Tabela 1'!E305</f>
        <v>-3.166290322580644E-4</v>
      </c>
      <c r="C5" s="10">
        <f>'Tabela 1'!F305</f>
        <v>8.547258064516126E-4</v>
      </c>
      <c r="D5" s="10">
        <f>'Tabela 1'!G305</f>
        <v>1.8499999999999999E-5</v>
      </c>
      <c r="E5" s="10">
        <f>'Tabela 1'!H305</f>
        <v>395.83870967741933</v>
      </c>
      <c r="F5" s="10">
        <f>'Tabela 1'!I305</f>
        <v>26.322580645161292</v>
      </c>
      <c r="G5" s="10">
        <f>'Tabela 1'!J305</f>
        <v>62</v>
      </c>
      <c r="H5" s="10">
        <f>'Tabela 1'!K305</f>
        <v>-4.7527272727272746E-5</v>
      </c>
      <c r="I5" s="10">
        <f>'Tabela 1'!L305</f>
        <v>3.6803636363636356E-4</v>
      </c>
      <c r="J5" s="10">
        <f>'Tabela 1'!M305</f>
        <v>1.3999999999999991E-6</v>
      </c>
      <c r="K5" s="10">
        <f>'Tabela 1'!N305</f>
        <v>217</v>
      </c>
      <c r="L5" s="10">
        <f>'Tabela 1'!O305</f>
        <v>41.2</v>
      </c>
      <c r="M5" s="10">
        <f>'Tabela 1'!P305</f>
        <v>55</v>
      </c>
      <c r="N5" s="10">
        <f>'Tabela 1'!Q305</f>
        <v>2.6184999999999997E-3</v>
      </c>
      <c r="O5" s="10">
        <f>'Tabela 1'!R305</f>
        <v>7.7786249999999982E-3</v>
      </c>
      <c r="P5" s="10">
        <f>'Tabela 1'!S305</f>
        <v>1.0329166666666667E-4</v>
      </c>
      <c r="Q5" s="10">
        <f>'Tabela 1'!T305</f>
        <v>647.875</v>
      </c>
      <c r="R5" s="10">
        <f>'Tabela 1'!U305</f>
        <v>43.125</v>
      </c>
      <c r="S5" s="10">
        <f>'Tabela 1'!V305</f>
        <v>43.125</v>
      </c>
      <c r="T5" s="10">
        <f>'Tabela 1'!W305</f>
        <v>24</v>
      </c>
    </row>
  </sheetData>
  <mergeCells count="4">
    <mergeCell ref="N1:T1"/>
    <mergeCell ref="A1:A2"/>
    <mergeCell ref="B1:G1"/>
    <mergeCell ref="H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"/>
  <sheetViews>
    <sheetView zoomScale="70" zoomScaleNormal="70" workbookViewId="0">
      <selection activeCell="G42" sqref="G42"/>
    </sheetView>
  </sheetViews>
  <sheetFormatPr defaultRowHeight="14.4" x14ac:dyDescent="0.3"/>
  <cols>
    <col min="1" max="19" width="10.6640625" customWidth="1"/>
  </cols>
  <sheetData>
    <row r="1" spans="1:19" x14ac:dyDescent="0.3">
      <c r="A1" s="53" t="s">
        <v>15</v>
      </c>
      <c r="B1" s="71" t="s">
        <v>6</v>
      </c>
      <c r="C1" s="72"/>
      <c r="D1" s="72"/>
      <c r="E1" s="72"/>
      <c r="F1" s="72"/>
      <c r="G1" s="73"/>
      <c r="H1" s="77" t="s">
        <v>7</v>
      </c>
      <c r="I1" s="72"/>
      <c r="J1" s="72"/>
      <c r="K1" s="72"/>
      <c r="L1" s="72"/>
      <c r="M1" s="78"/>
      <c r="N1" s="71" t="s">
        <v>11</v>
      </c>
      <c r="O1" s="72"/>
      <c r="P1" s="72"/>
      <c r="Q1" s="72"/>
      <c r="R1" s="72"/>
      <c r="S1" s="73"/>
    </row>
    <row r="2" spans="1:19" x14ac:dyDescent="0.3">
      <c r="A2" s="54"/>
      <c r="B2" s="74">
        <v>0.05</v>
      </c>
      <c r="C2" s="75"/>
      <c r="D2" s="75">
        <v>0.25</v>
      </c>
      <c r="E2" s="75"/>
      <c r="F2" s="75" t="s">
        <v>13</v>
      </c>
      <c r="G2" s="76"/>
      <c r="H2" s="79">
        <v>0.05</v>
      </c>
      <c r="I2" s="75"/>
      <c r="J2" s="75">
        <v>0.25</v>
      </c>
      <c r="K2" s="75"/>
      <c r="L2" s="75" t="s">
        <v>13</v>
      </c>
      <c r="M2" s="80"/>
      <c r="N2" s="74">
        <v>0.05</v>
      </c>
      <c r="O2" s="75"/>
      <c r="P2" s="75">
        <v>0.25</v>
      </c>
      <c r="Q2" s="75"/>
      <c r="R2" s="75" t="s">
        <v>13</v>
      </c>
      <c r="S2" s="76"/>
    </row>
    <row r="3" spans="1:19" ht="16.2" thickBot="1" x14ac:dyDescent="0.35">
      <c r="A3" s="56"/>
      <c r="B3" s="27" t="s">
        <v>3</v>
      </c>
      <c r="C3" s="23" t="s">
        <v>4</v>
      </c>
      <c r="D3" s="32" t="s">
        <v>3</v>
      </c>
      <c r="E3" s="23" t="s">
        <v>4</v>
      </c>
      <c r="F3" s="32" t="s">
        <v>3</v>
      </c>
      <c r="G3" s="28" t="s">
        <v>4</v>
      </c>
      <c r="H3" s="32" t="s">
        <v>3</v>
      </c>
      <c r="I3" s="23" t="s">
        <v>4</v>
      </c>
      <c r="J3" s="32" t="s">
        <v>3</v>
      </c>
      <c r="K3" s="23" t="s">
        <v>4</v>
      </c>
      <c r="L3" s="32" t="s">
        <v>3</v>
      </c>
      <c r="M3" s="33" t="s">
        <v>4</v>
      </c>
      <c r="N3" s="27" t="s">
        <v>3</v>
      </c>
      <c r="O3" s="23" t="s">
        <v>4</v>
      </c>
      <c r="P3" s="32" t="s">
        <v>3</v>
      </c>
      <c r="Q3" s="23" t="s">
        <v>4</v>
      </c>
      <c r="R3" s="32" t="s">
        <v>3</v>
      </c>
      <c r="S3" s="28" t="s">
        <v>4</v>
      </c>
    </row>
    <row r="4" spans="1:19" x14ac:dyDescent="0.3">
      <c r="A4" s="35">
        <v>0</v>
      </c>
      <c r="B4">
        <v>2</v>
      </c>
      <c r="C4">
        <v>2</v>
      </c>
      <c r="D4" s="4">
        <v>2</v>
      </c>
      <c r="E4" s="4">
        <v>2</v>
      </c>
      <c r="F4" s="4">
        <v>2</v>
      </c>
      <c r="G4" s="5">
        <v>2</v>
      </c>
      <c r="H4" s="8">
        <v>2</v>
      </c>
      <c r="I4" s="4">
        <v>2</v>
      </c>
      <c r="J4" s="4">
        <v>2</v>
      </c>
      <c r="K4" s="4">
        <v>2</v>
      </c>
      <c r="L4" s="4">
        <v>2</v>
      </c>
      <c r="M4" s="11">
        <v>2</v>
      </c>
      <c r="N4" s="14">
        <v>2</v>
      </c>
      <c r="O4" s="4">
        <v>2</v>
      </c>
      <c r="P4" s="4">
        <v>2</v>
      </c>
      <c r="Q4" s="4">
        <v>2</v>
      </c>
      <c r="R4" s="4">
        <v>2</v>
      </c>
      <c r="S4" s="5">
        <v>2</v>
      </c>
    </row>
    <row r="5" spans="1:19" x14ac:dyDescent="0.3">
      <c r="A5" s="34">
        <v>1</v>
      </c>
      <c r="B5" s="8">
        <v>1.58</v>
      </c>
      <c r="C5" s="4">
        <v>1.7</v>
      </c>
      <c r="D5" s="1">
        <v>-0.1</v>
      </c>
      <c r="E5" s="1">
        <v>0.5</v>
      </c>
      <c r="F5" s="1">
        <v>1.1634150000000001</v>
      </c>
      <c r="G5" s="2">
        <v>1.402439</v>
      </c>
      <c r="H5" s="9">
        <v>1.58</v>
      </c>
      <c r="I5" s="1">
        <v>1.7</v>
      </c>
      <c r="J5" s="1">
        <v>-0.1</v>
      </c>
      <c r="K5" s="1">
        <v>0.5</v>
      </c>
      <c r="L5" s="1">
        <v>1.1634150000000001</v>
      </c>
      <c r="M5" s="12">
        <v>1.402439</v>
      </c>
      <c r="N5" s="15">
        <v>1.991843</v>
      </c>
      <c r="O5" s="1">
        <v>1.854079</v>
      </c>
      <c r="P5" s="1">
        <v>1.9592149999999999</v>
      </c>
      <c r="Q5" s="1">
        <v>1.2703930000000001</v>
      </c>
      <c r="R5" s="1">
        <v>1.983752</v>
      </c>
      <c r="S5" s="2">
        <v>1.709344</v>
      </c>
    </row>
    <row r="6" spans="1:19" x14ac:dyDescent="0.3">
      <c r="A6" s="34">
        <v>2</v>
      </c>
      <c r="B6" s="9">
        <v>1.5149760000000001</v>
      </c>
      <c r="C6" s="1">
        <v>1.4510000000000001</v>
      </c>
      <c r="D6" s="1">
        <v>-0.12604699999999999</v>
      </c>
      <c r="E6" s="1">
        <v>0.27500000000000002</v>
      </c>
      <c r="F6" s="1">
        <v>1.0066839999999999</v>
      </c>
      <c r="G6" s="2">
        <v>1.007223</v>
      </c>
      <c r="H6" s="9">
        <v>1.410561</v>
      </c>
      <c r="I6" s="1">
        <v>1.3764179999999999</v>
      </c>
      <c r="J6" s="1">
        <v>-0.14222399999999999</v>
      </c>
      <c r="K6" s="1">
        <v>0.26344499999999998</v>
      </c>
      <c r="L6" s="1">
        <v>0.977321</v>
      </c>
      <c r="M6" s="12">
        <v>0.98624999999999996</v>
      </c>
      <c r="N6" s="15">
        <v>1.9838750000000001</v>
      </c>
      <c r="O6" s="1">
        <v>1.7155629999999999</v>
      </c>
      <c r="P6" s="1">
        <v>1.923295</v>
      </c>
      <c r="Q6" s="1">
        <v>0.72585200000000005</v>
      </c>
      <c r="R6" s="1">
        <v>1.968259</v>
      </c>
      <c r="S6" s="2">
        <v>1.4480660000000001</v>
      </c>
    </row>
    <row r="7" spans="1:19" x14ac:dyDescent="0.3">
      <c r="A7" s="34">
        <v>3</v>
      </c>
      <c r="B7" s="9">
        <v>1.470599</v>
      </c>
      <c r="C7" s="1">
        <v>1.230151</v>
      </c>
      <c r="D7" s="1">
        <v>-7.0845000000000005E-2</v>
      </c>
      <c r="E7" s="1">
        <v>0.169012</v>
      </c>
      <c r="F7" s="1">
        <v>0.82910399999999995</v>
      </c>
      <c r="G7" s="2">
        <v>0.70633800000000002</v>
      </c>
      <c r="H7" s="9">
        <v>1.2546809999999999</v>
      </c>
      <c r="I7" s="1">
        <v>0.94840500000000005</v>
      </c>
      <c r="J7" s="1">
        <v>-8.0907999999999994E-2</v>
      </c>
      <c r="K7" s="1">
        <v>9.9824999999999997E-2</v>
      </c>
      <c r="L7" s="1">
        <v>0.52965099999999998</v>
      </c>
      <c r="M7" s="12">
        <v>0.10700999999999999</v>
      </c>
      <c r="N7" s="15">
        <v>1.976094</v>
      </c>
      <c r="O7" s="1">
        <v>1.5840780000000001</v>
      </c>
      <c r="P7" s="1">
        <v>1.8920030000000001</v>
      </c>
      <c r="Q7" s="1">
        <v>0.31962400000000002</v>
      </c>
      <c r="R7" s="1">
        <v>1.9535070000000001</v>
      </c>
      <c r="S7" s="2">
        <v>1.213212</v>
      </c>
    </row>
    <row r="8" spans="1:19" x14ac:dyDescent="0.3">
      <c r="A8" s="34">
        <v>4</v>
      </c>
      <c r="B8" s="9">
        <v>1.43895</v>
      </c>
      <c r="C8" s="1">
        <v>1.033606</v>
      </c>
      <c r="D8" s="1">
        <v>-4.2625999999999997E-2</v>
      </c>
      <c r="E8" s="1">
        <v>0.102217</v>
      </c>
      <c r="F8" s="1">
        <v>0.62784600000000002</v>
      </c>
      <c r="G8" s="2">
        <v>0.483072</v>
      </c>
      <c r="H8" s="9">
        <v>1.124342</v>
      </c>
      <c r="I8" s="1">
        <v>0.54014600000000002</v>
      </c>
      <c r="J8" s="1">
        <v>-8.9560000000000004E-3</v>
      </c>
      <c r="K8" s="1">
        <v>2.5961000000000001E-2</v>
      </c>
      <c r="L8" s="1">
        <v>1.9008000000000001E-2</v>
      </c>
      <c r="M8" s="12">
        <v>-0.64854800000000001</v>
      </c>
      <c r="N8" s="15">
        <v>1.9684980000000001</v>
      </c>
      <c r="O8" s="1">
        <v>1.4592700000000001</v>
      </c>
      <c r="P8" s="1">
        <v>1.8650659999999999</v>
      </c>
      <c r="Q8" s="1">
        <v>1.6685999999999999E-2</v>
      </c>
      <c r="R8" s="1">
        <v>1.939481</v>
      </c>
      <c r="S8" s="2">
        <v>1.0021180000000001</v>
      </c>
    </row>
    <row r="9" spans="1:19" x14ac:dyDescent="0.3">
      <c r="A9" s="34">
        <v>5</v>
      </c>
      <c r="B9" s="9">
        <v>1.416706</v>
      </c>
      <c r="C9" s="1">
        <v>0.85829800000000001</v>
      </c>
      <c r="D9" s="1">
        <v>-2.5635999999999999E-2</v>
      </c>
      <c r="E9" s="1">
        <v>6.1765E-2</v>
      </c>
      <c r="F9" s="1">
        <v>0.423425</v>
      </c>
      <c r="G9" s="2">
        <v>0.32432100000000003</v>
      </c>
      <c r="H9" s="9">
        <v>1.0117670000000001</v>
      </c>
      <c r="I9" s="1">
        <v>0.21272199999999999</v>
      </c>
      <c r="J9" s="1">
        <v>-4.2789999999999998E-3</v>
      </c>
      <c r="K9" s="1">
        <v>1.2947999999999999E-2</v>
      </c>
      <c r="L9" s="1">
        <v>1.4038999999999999E-2</v>
      </c>
      <c r="M9" s="12">
        <v>-0.61298200000000003</v>
      </c>
      <c r="N9" s="15">
        <v>1.9610860000000001</v>
      </c>
      <c r="O9" s="1">
        <v>1.3408</v>
      </c>
      <c r="P9" s="1">
        <v>1.842176</v>
      </c>
      <c r="Q9" s="1">
        <v>-0.209174</v>
      </c>
      <c r="R9" s="1">
        <v>1.926167</v>
      </c>
      <c r="S9" s="2">
        <v>0.81239099999999997</v>
      </c>
    </row>
    <row r="10" spans="1:19" x14ac:dyDescent="0.3">
      <c r="A10" s="36" t="s">
        <v>14</v>
      </c>
      <c r="B10" s="9">
        <v>1.4022209999999999</v>
      </c>
      <c r="C10" s="1">
        <v>0.70163299999999995</v>
      </c>
      <c r="D10" s="1">
        <v>-1.5459000000000001E-2</v>
      </c>
      <c r="E10" s="1">
        <v>3.7290999999999998E-2</v>
      </c>
      <c r="F10" s="1">
        <v>0.25284200000000001</v>
      </c>
      <c r="G10" s="2">
        <v>0.21754999999999999</v>
      </c>
      <c r="H10" s="9">
        <v>0.90291600000000005</v>
      </c>
      <c r="I10" s="1">
        <v>-3.4669999999999999E-2</v>
      </c>
      <c r="J10" s="1">
        <v>-2.0709999999999999E-3</v>
      </c>
      <c r="K10" s="1">
        <v>4.2979999999999997E-3</v>
      </c>
      <c r="L10" s="1">
        <v>6.4796000000000006E-2</v>
      </c>
      <c r="M10" s="12">
        <v>-0.45864100000000002</v>
      </c>
      <c r="N10" s="15">
        <v>1.953856</v>
      </c>
      <c r="O10" s="1">
        <v>1.228348</v>
      </c>
      <c r="P10" s="1">
        <v>1.8229880000000001</v>
      </c>
      <c r="Q10" s="1">
        <v>-0.377558</v>
      </c>
      <c r="R10" s="1">
        <v>1.913548</v>
      </c>
      <c r="S10" s="2">
        <v>0.64187499999999997</v>
      </c>
    </row>
    <row r="11" spans="1:19" x14ac:dyDescent="0.3">
      <c r="B11" s="9">
        <v>1.39463</v>
      </c>
      <c r="C11" s="1">
        <v>0.56135900000000005</v>
      </c>
      <c r="D11">
        <v>-9.3270000000000002E-3</v>
      </c>
      <c r="E11">
        <v>2.2509999999999999E-2</v>
      </c>
      <c r="F11">
        <v>0.13710800000000001</v>
      </c>
      <c r="G11">
        <v>0.149035</v>
      </c>
      <c r="H11">
        <v>0.78082799999999997</v>
      </c>
      <c r="I11">
        <v>-0.23047500000000001</v>
      </c>
      <c r="J11">
        <v>-8.0800000000000002E-4</v>
      </c>
      <c r="K11">
        <v>1.6230000000000001E-3</v>
      </c>
      <c r="L11">
        <v>9.1360999999999998E-2</v>
      </c>
      <c r="M11">
        <v>-0.353709</v>
      </c>
      <c r="N11">
        <v>1.9468049999999999</v>
      </c>
      <c r="O11">
        <v>1.1216090000000001</v>
      </c>
      <c r="P11">
        <v>1.8071250000000001</v>
      </c>
      <c r="Q11">
        <v>-0.50311099999999997</v>
      </c>
      <c r="R11">
        <v>1.901608</v>
      </c>
      <c r="S11">
        <v>0.48863000000000001</v>
      </c>
    </row>
    <row r="12" spans="1:19" x14ac:dyDescent="0.3">
      <c r="B12">
        <v>1.3934770000000001</v>
      </c>
      <c r="C12">
        <v>0.43549100000000002</v>
      </c>
      <c r="D12">
        <v>-5.6280000000000002E-3</v>
      </c>
      <c r="E12">
        <v>1.3587E-2</v>
      </c>
      <c r="F12">
        <v>6.8718000000000001E-2</v>
      </c>
      <c r="G12">
        <v>0.105694</v>
      </c>
      <c r="H12">
        <v>0.62366299999999997</v>
      </c>
      <c r="I12">
        <v>-0.40361799999999998</v>
      </c>
      <c r="J12">
        <v>-2.22E-4</v>
      </c>
      <c r="K12">
        <v>6.2299999999999996E-4</v>
      </c>
      <c r="L12">
        <v>9.0559000000000001E-2</v>
      </c>
      <c r="M12">
        <v>-0.29216300000000001</v>
      </c>
      <c r="N12">
        <v>1.9399329999999999</v>
      </c>
      <c r="O12">
        <v>1.020295</v>
      </c>
      <c r="P12">
        <v>1.794189</v>
      </c>
      <c r="Q12">
        <v>-0.59675599999999995</v>
      </c>
      <c r="R12">
        <v>1.8903300000000001</v>
      </c>
      <c r="S12">
        <v>0.35091099999999997</v>
      </c>
    </row>
    <row r="13" spans="1:19" x14ac:dyDescent="0.3">
      <c r="B13">
        <v>1.3985240000000001</v>
      </c>
      <c r="C13">
        <v>0.322268</v>
      </c>
      <c r="D13">
        <v>-3.3969999999999998E-3</v>
      </c>
      <c r="E13">
        <v>8.201E-3</v>
      </c>
      <c r="F13">
        <v>3.0952E-2</v>
      </c>
      <c r="G13">
        <v>7.7797000000000005E-2</v>
      </c>
      <c r="H13">
        <v>0.41953400000000002</v>
      </c>
      <c r="I13">
        <v>-0.55506100000000003</v>
      </c>
      <c r="N13">
        <v>1.9332370000000001</v>
      </c>
      <c r="O13">
        <v>0.92413000000000001</v>
      </c>
      <c r="P13">
        <v>1.7837780000000001</v>
      </c>
      <c r="Q13">
        <v>-0.66663499999999998</v>
      </c>
      <c r="R13">
        <v>1.879696</v>
      </c>
      <c r="S13">
        <v>0.22714699999999999</v>
      </c>
    </row>
    <row r="14" spans="1:19" x14ac:dyDescent="0.3">
      <c r="B14">
        <v>1.4096280000000001</v>
      </c>
      <c r="C14">
        <v>0.22011500000000001</v>
      </c>
      <c r="D14">
        <v>-2.0500000000000002E-3</v>
      </c>
      <c r="E14">
        <v>4.9500000000000004E-3</v>
      </c>
      <c r="F14">
        <v>1.0886E-2</v>
      </c>
      <c r="G14">
        <v>5.9219000000000001E-2</v>
      </c>
      <c r="H14">
        <v>0.20857700000000001</v>
      </c>
      <c r="I14">
        <v>-0.64640299999999995</v>
      </c>
      <c r="N14">
        <v>1.926715</v>
      </c>
      <c r="O14">
        <v>0.83285299999999995</v>
      </c>
      <c r="P14">
        <v>1.7755000000000001</v>
      </c>
      <c r="Q14">
        <v>-0.71880900000000003</v>
      </c>
      <c r="R14">
        <v>1.8696870000000001</v>
      </c>
      <c r="S14">
        <v>0.115927</v>
      </c>
    </row>
    <row r="15" spans="1:19" x14ac:dyDescent="0.3">
      <c r="B15">
        <v>1.4266209999999999</v>
      </c>
      <c r="C15">
        <v>0.12762200000000001</v>
      </c>
      <c r="D15">
        <v>-1.237E-3</v>
      </c>
      <c r="E15">
        <v>2.9870000000000001E-3</v>
      </c>
      <c r="F15">
        <v>6.5200000000000002E-4</v>
      </c>
      <c r="G15">
        <v>4.6338999999999998E-2</v>
      </c>
      <c r="H15">
        <v>-1.6990999999999999E-2</v>
      </c>
      <c r="I15">
        <v>-0.686608</v>
      </c>
      <c r="N15">
        <v>1.920366</v>
      </c>
      <c r="O15">
        <v>0.74621700000000002</v>
      </c>
      <c r="P15">
        <v>1.7689889999999999</v>
      </c>
      <c r="Q15">
        <v>-0.75778900000000005</v>
      </c>
      <c r="R15">
        <v>1.860282</v>
      </c>
      <c r="S15">
        <v>1.5979E-2</v>
      </c>
    </row>
    <row r="16" spans="1:19" x14ac:dyDescent="0.3">
      <c r="B16">
        <v>1.4491860000000001</v>
      </c>
      <c r="C16">
        <v>4.3528999999999998E-2</v>
      </c>
      <c r="D16">
        <v>-7.4700000000000005E-4</v>
      </c>
      <c r="E16">
        <v>1.8029999999999999E-3</v>
      </c>
      <c r="F16">
        <v>-4.2230000000000002E-3</v>
      </c>
      <c r="G16">
        <v>3.7044000000000001E-2</v>
      </c>
      <c r="H16">
        <v>-0.45032299999999997</v>
      </c>
      <c r="I16">
        <v>-0.70106000000000002</v>
      </c>
      <c r="N16">
        <v>1.9141859999999999</v>
      </c>
      <c r="O16">
        <v>0.66398699999999999</v>
      </c>
      <c r="P16">
        <v>1.763916</v>
      </c>
      <c r="Q16">
        <v>-0.78692899999999999</v>
      </c>
      <c r="R16">
        <v>1.8514630000000001</v>
      </c>
      <c r="S16">
        <v>-7.3839000000000002E-2</v>
      </c>
    </row>
    <row r="17" spans="2:19" x14ac:dyDescent="0.3">
      <c r="B17">
        <v>1.476718</v>
      </c>
      <c r="C17">
        <v>-3.3283E-2</v>
      </c>
      <c r="D17">
        <v>-4.5100000000000001E-4</v>
      </c>
      <c r="E17">
        <v>1.088E-3</v>
      </c>
      <c r="F17">
        <v>-6.2300000000000003E-3</v>
      </c>
      <c r="G17">
        <v>3.0086000000000002E-2</v>
      </c>
      <c r="H17">
        <v>-1.728939</v>
      </c>
      <c r="I17">
        <v>-0.65464299999999997</v>
      </c>
      <c r="N17">
        <v>1.908174</v>
      </c>
      <c r="O17">
        <v>0.58593899999999999</v>
      </c>
      <c r="P17">
        <v>1.759995</v>
      </c>
      <c r="Q17">
        <v>-0.80872599999999994</v>
      </c>
      <c r="R17">
        <v>1.843208</v>
      </c>
      <c r="S17">
        <v>-0.154554</v>
      </c>
    </row>
    <row r="18" spans="2:19" x14ac:dyDescent="0.3">
      <c r="B18">
        <v>1.5081739999999999</v>
      </c>
      <c r="C18">
        <v>-0.10379099999999999</v>
      </c>
      <c r="F18">
        <v>-6.7450000000000001E-3</v>
      </c>
      <c r="G18">
        <v>2.4714E-2</v>
      </c>
      <c r="H18">
        <v>-3.414193</v>
      </c>
      <c r="I18">
        <v>-0.43917</v>
      </c>
      <c r="N18">
        <v>1.902328</v>
      </c>
      <c r="O18">
        <v>0.51186100000000001</v>
      </c>
      <c r="P18">
        <v>1.7569840000000001</v>
      </c>
      <c r="Q18">
        <v>-0.82503800000000005</v>
      </c>
      <c r="R18">
        <v>1.8354950000000001</v>
      </c>
      <c r="S18">
        <v>-0.22709099999999999</v>
      </c>
    </row>
    <row r="19" spans="2:19" x14ac:dyDescent="0.3">
      <c r="B19">
        <v>1.5419830000000001</v>
      </c>
      <c r="C19">
        <v>-0.16882</v>
      </c>
      <c r="F19">
        <v>-6.5189999999999996E-3</v>
      </c>
      <c r="G19">
        <v>2.0462999999999999E-2</v>
      </c>
      <c r="N19">
        <v>1.8966460000000001</v>
      </c>
      <c r="O19">
        <v>0.44155100000000003</v>
      </c>
      <c r="P19">
        <v>1.7546839999999999</v>
      </c>
      <c r="Q19">
        <v>-0.837252</v>
      </c>
      <c r="R19">
        <v>1.828303</v>
      </c>
      <c r="S19">
        <v>-0.29227999999999998</v>
      </c>
    </row>
    <row r="20" spans="2:19" x14ac:dyDescent="0.3">
      <c r="B20">
        <v>1.5760879999999999</v>
      </c>
      <c r="C20">
        <v>-0.22903699999999999</v>
      </c>
      <c r="F20">
        <v>-5.96E-3</v>
      </c>
      <c r="G20">
        <v>1.7035999999999999E-2</v>
      </c>
      <c r="N20">
        <v>1.8911249999999999</v>
      </c>
      <c r="O20">
        <v>0.37481799999999998</v>
      </c>
      <c r="P20">
        <v>1.752934</v>
      </c>
      <c r="Q20">
        <v>-0.84639900000000001</v>
      </c>
      <c r="R20">
        <v>1.821607</v>
      </c>
      <c r="S20">
        <v>-0.35086600000000001</v>
      </c>
    </row>
    <row r="21" spans="2:19" x14ac:dyDescent="0.3">
      <c r="B21">
        <v>1.6082259999999999</v>
      </c>
      <c r="C21">
        <v>-0.28493800000000002</v>
      </c>
      <c r="F21">
        <v>-5.2830000000000004E-3</v>
      </c>
      <c r="G21">
        <v>1.4236E-2</v>
      </c>
      <c r="N21">
        <v>1.8857630000000001</v>
      </c>
      <c r="O21">
        <v>0.31147900000000001</v>
      </c>
      <c r="P21">
        <v>1.7516080000000001</v>
      </c>
      <c r="Q21">
        <v>-0.85325300000000004</v>
      </c>
      <c r="R21">
        <v>1.8153859999999999</v>
      </c>
      <c r="S21">
        <v>-0.40352199999999999</v>
      </c>
    </row>
    <row r="22" spans="2:19" x14ac:dyDescent="0.3">
      <c r="B22">
        <v>1.6364179999999999</v>
      </c>
      <c r="C22">
        <v>-0.33685599999999999</v>
      </c>
      <c r="F22">
        <v>-4.5960000000000003E-3</v>
      </c>
      <c r="G22">
        <v>1.1927E-2</v>
      </c>
      <c r="N22">
        <v>1.880558</v>
      </c>
      <c r="O22">
        <v>0.25136399999999998</v>
      </c>
      <c r="P22">
        <v>1.750605</v>
      </c>
      <c r="Q22">
        <v>-0.85838899999999996</v>
      </c>
      <c r="R22">
        <v>1.809617</v>
      </c>
      <c r="S22">
        <v>-0.450849</v>
      </c>
    </row>
    <row r="23" spans="2:19" x14ac:dyDescent="0.3">
      <c r="B23">
        <v>1.6594850000000001</v>
      </c>
      <c r="C23">
        <v>-0.38499100000000003</v>
      </c>
      <c r="F23">
        <v>-3.9529999999999999E-3</v>
      </c>
      <c r="G23">
        <v>1.0009000000000001E-2</v>
      </c>
      <c r="N23">
        <v>1.875507</v>
      </c>
      <c r="O23">
        <v>0.19430700000000001</v>
      </c>
      <c r="P23">
        <v>1.7498480000000001</v>
      </c>
      <c r="Q23">
        <v>-0.86223899999999998</v>
      </c>
      <c r="R23">
        <v>1.804276</v>
      </c>
      <c r="S23">
        <v>-0.49339</v>
      </c>
    </row>
    <row r="24" spans="2:19" x14ac:dyDescent="0.3">
      <c r="B24">
        <v>1.6772769999999999</v>
      </c>
      <c r="C24">
        <v>-0.42946600000000001</v>
      </c>
      <c r="F24">
        <v>-3.375E-3</v>
      </c>
      <c r="G24">
        <v>8.4089999999999998E-3</v>
      </c>
      <c r="N24">
        <v>1.870608</v>
      </c>
      <c r="O24">
        <v>0.140154</v>
      </c>
      <c r="P24">
        <v>1.7492780000000001</v>
      </c>
      <c r="Q24">
        <v>-0.86512500000000003</v>
      </c>
      <c r="R24">
        <v>1.7993399999999999</v>
      </c>
      <c r="S24">
        <v>-0.53163099999999996</v>
      </c>
    </row>
    <row r="25" spans="2:19" x14ac:dyDescent="0.3">
      <c r="B25">
        <v>1.6904699999999999</v>
      </c>
      <c r="C25">
        <v>-0.470383</v>
      </c>
      <c r="F25">
        <v>-2.8679999999999999E-3</v>
      </c>
      <c r="G25">
        <v>7.0699999999999999E-3</v>
      </c>
      <c r="N25">
        <v>1.865858</v>
      </c>
      <c r="O25">
        <v>8.8756000000000002E-2</v>
      </c>
      <c r="P25">
        <v>1.748848</v>
      </c>
      <c r="Q25">
        <v>-0.86728899999999998</v>
      </c>
      <c r="R25">
        <v>1.7947850000000001</v>
      </c>
      <c r="S25">
        <v>-0.56600799999999996</v>
      </c>
    </row>
    <row r="26" spans="2:19" x14ac:dyDescent="0.3">
      <c r="B26">
        <v>1.7001189999999999</v>
      </c>
      <c r="C26">
        <v>-0.50786900000000001</v>
      </c>
      <c r="F26">
        <v>-2.4299999999999999E-3</v>
      </c>
      <c r="G26">
        <v>5.947E-3</v>
      </c>
      <c r="N26">
        <v>1.861256</v>
      </c>
      <c r="O26">
        <v>3.9973000000000002E-2</v>
      </c>
      <c r="P26">
        <v>1.7485250000000001</v>
      </c>
      <c r="Q26">
        <v>-0.86891099999999999</v>
      </c>
      <c r="R26">
        <v>1.7905899999999999</v>
      </c>
      <c r="S26">
        <v>-0.59691399999999994</v>
      </c>
    </row>
    <row r="27" spans="2:19" x14ac:dyDescent="0.3">
      <c r="B27">
        <v>1.7072579999999999</v>
      </c>
      <c r="C27">
        <v>-0.54208800000000001</v>
      </c>
      <c r="F27">
        <v>-2.0539999999999998E-3</v>
      </c>
      <c r="G27">
        <v>5.0049999999999999E-3</v>
      </c>
      <c r="N27">
        <v>1.856797</v>
      </c>
      <c r="O27">
        <v>-6.3280000000000003E-3</v>
      </c>
      <c r="P27">
        <v>1.748283</v>
      </c>
      <c r="Q27">
        <v>-0.87012800000000001</v>
      </c>
      <c r="R27">
        <v>1.786732</v>
      </c>
      <c r="S27">
        <v>-0.62470199999999998</v>
      </c>
    </row>
    <row r="28" spans="2:19" x14ac:dyDescent="0.3">
      <c r="B28">
        <v>1.712699</v>
      </c>
      <c r="C28">
        <v>-0.57324200000000003</v>
      </c>
      <c r="F28">
        <v>-1.7340000000000001E-3</v>
      </c>
      <c r="G28">
        <v>4.2119999999999996E-3</v>
      </c>
      <c r="N28">
        <v>1.852481</v>
      </c>
      <c r="O28">
        <v>-5.0272999999999998E-2</v>
      </c>
      <c r="P28">
        <v>1.7481009999999999</v>
      </c>
      <c r="Q28">
        <v>-0.87104000000000004</v>
      </c>
      <c r="R28">
        <v>1.7831900000000001</v>
      </c>
      <c r="S28">
        <v>-0.64968800000000004</v>
      </c>
    </row>
    <row r="29" spans="2:19" x14ac:dyDescent="0.3">
      <c r="B29">
        <v>1.7170019999999999</v>
      </c>
      <c r="C29">
        <v>-0.601553</v>
      </c>
      <c r="N29">
        <v>1.848303</v>
      </c>
      <c r="O29">
        <v>-9.1982999999999995E-2</v>
      </c>
      <c r="R29">
        <v>1.779941</v>
      </c>
      <c r="S29">
        <v>-0.67215599999999998</v>
      </c>
    </row>
    <row r="30" spans="2:19" x14ac:dyDescent="0.3">
      <c r="B30">
        <v>1.720529</v>
      </c>
      <c r="C30">
        <v>-0.627247</v>
      </c>
      <c r="N30">
        <v>1.8442620000000001</v>
      </c>
      <c r="O30">
        <v>-0.13157099999999999</v>
      </c>
      <c r="R30">
        <v>1.776966</v>
      </c>
      <c r="S30">
        <v>-0.692361</v>
      </c>
    </row>
    <row r="31" spans="2:19" x14ac:dyDescent="0.3">
      <c r="B31">
        <v>1.7235050000000001</v>
      </c>
      <c r="C31">
        <v>-0.65054900000000004</v>
      </c>
      <c r="N31">
        <v>1.840355</v>
      </c>
      <c r="O31">
        <v>-0.16914499999999999</v>
      </c>
      <c r="R31">
        <v>1.774246</v>
      </c>
      <c r="S31">
        <v>-0.710534</v>
      </c>
    </row>
    <row r="32" spans="2:19" x14ac:dyDescent="0.3">
      <c r="B32">
        <v>1.7260679999999999</v>
      </c>
      <c r="C32">
        <v>-0.67166899999999996</v>
      </c>
      <c r="N32">
        <v>1.836578</v>
      </c>
      <c r="O32">
        <v>-0.20480899999999999</v>
      </c>
      <c r="R32">
        <v>1.7717609999999999</v>
      </c>
      <c r="S32">
        <v>-0.72687800000000002</v>
      </c>
    </row>
    <row r="33" spans="2:19" x14ac:dyDescent="0.3">
      <c r="B33">
        <v>1.728307</v>
      </c>
      <c r="C33">
        <v>-0.69080600000000003</v>
      </c>
      <c r="N33">
        <v>1.8329299999999999</v>
      </c>
      <c r="O33">
        <v>-0.23865900000000001</v>
      </c>
      <c r="R33">
        <v>1.7694939999999999</v>
      </c>
      <c r="S33">
        <v>-0.74158100000000005</v>
      </c>
    </row>
    <row r="34" spans="2:19" x14ac:dyDescent="0.3">
      <c r="B34">
        <v>1.7302820000000001</v>
      </c>
      <c r="C34">
        <v>-0.70814100000000002</v>
      </c>
      <c r="N34">
        <v>1.8294079999999999</v>
      </c>
      <c r="O34">
        <v>-0.27078799999999997</v>
      </c>
      <c r="R34">
        <v>1.767428</v>
      </c>
      <c r="S34">
        <v>-0.75480599999999998</v>
      </c>
    </row>
    <row r="35" spans="2:19" x14ac:dyDescent="0.3">
      <c r="B35">
        <v>1.7320340000000001</v>
      </c>
      <c r="C35">
        <v>-0.72384099999999996</v>
      </c>
      <c r="N35">
        <v>1.8260080000000001</v>
      </c>
      <c r="O35">
        <v>-0.30128300000000002</v>
      </c>
      <c r="R35">
        <v>1.7655479999999999</v>
      </c>
      <c r="S35">
        <v>-0.76670400000000005</v>
      </c>
    </row>
    <row r="36" spans="2:19" x14ac:dyDescent="0.3">
      <c r="B36">
        <v>1.7335940000000001</v>
      </c>
      <c r="C36">
        <v>-0.73805799999999999</v>
      </c>
      <c r="N36">
        <v>1.822727</v>
      </c>
      <c r="O36">
        <v>-0.33022899999999999</v>
      </c>
      <c r="R36">
        <v>1.7638370000000001</v>
      </c>
      <c r="S36">
        <v>-0.77740799999999999</v>
      </c>
    </row>
    <row r="37" spans="2:19" x14ac:dyDescent="0.3">
      <c r="B37">
        <v>1.734988</v>
      </c>
      <c r="C37">
        <v>-0.75093200000000004</v>
      </c>
      <c r="N37">
        <v>1.819564</v>
      </c>
      <c r="O37">
        <v>-0.35770400000000002</v>
      </c>
      <c r="R37">
        <v>1.7622819999999999</v>
      </c>
      <c r="S37">
        <v>-0.78703900000000004</v>
      </c>
    </row>
    <row r="38" spans="2:19" x14ac:dyDescent="0.3">
      <c r="B38">
        <v>1.7362359999999999</v>
      </c>
      <c r="C38">
        <v>-0.76258800000000004</v>
      </c>
      <c r="N38">
        <v>1.8165150000000001</v>
      </c>
      <c r="O38">
        <v>-0.38378299999999999</v>
      </c>
      <c r="R38">
        <v>1.7608699999999999</v>
      </c>
      <c r="S38">
        <v>-0.795705</v>
      </c>
    </row>
    <row r="39" spans="2:19" x14ac:dyDescent="0.3">
      <c r="B39">
        <v>1.7373540000000001</v>
      </c>
      <c r="C39">
        <v>-0.77314099999999997</v>
      </c>
      <c r="N39">
        <v>1.813577</v>
      </c>
      <c r="O39">
        <v>-0.40853800000000001</v>
      </c>
      <c r="R39">
        <v>1.7595890000000001</v>
      </c>
      <c r="S39">
        <v>-0.80350299999999997</v>
      </c>
    </row>
    <row r="40" spans="2:19" x14ac:dyDescent="0.3">
      <c r="B40">
        <v>1.7383580000000001</v>
      </c>
      <c r="C40">
        <v>-0.78269500000000003</v>
      </c>
      <c r="N40">
        <v>1.8107470000000001</v>
      </c>
      <c r="O40">
        <v>-0.43203599999999998</v>
      </c>
      <c r="R40">
        <v>1.758427</v>
      </c>
      <c r="S40">
        <v>-0.81052100000000005</v>
      </c>
    </row>
    <row r="41" spans="2:19" x14ac:dyDescent="0.3">
      <c r="B41">
        <v>1.7392590000000001</v>
      </c>
      <c r="C41">
        <v>-0.79134300000000002</v>
      </c>
      <c r="N41">
        <v>1.8080229999999999</v>
      </c>
      <c r="O41">
        <v>-0.45434099999999999</v>
      </c>
      <c r="R41">
        <v>1.7573749999999999</v>
      </c>
      <c r="S41">
        <v>-0.81683600000000001</v>
      </c>
    </row>
    <row r="42" spans="2:19" x14ac:dyDescent="0.3">
      <c r="B42">
        <v>1.74007</v>
      </c>
      <c r="C42">
        <v>-0.79917199999999999</v>
      </c>
      <c r="N42">
        <v>1.805402</v>
      </c>
      <c r="O42">
        <v>-0.47551399999999999</v>
      </c>
      <c r="R42">
        <v>1.756421</v>
      </c>
      <c r="S42">
        <v>-0.822519</v>
      </c>
    </row>
    <row r="43" spans="2:19" x14ac:dyDescent="0.3">
      <c r="B43">
        <v>1.740799</v>
      </c>
      <c r="C43">
        <v>-0.80625800000000003</v>
      </c>
      <c r="N43">
        <v>1.80288</v>
      </c>
      <c r="O43">
        <v>-0.495612</v>
      </c>
      <c r="R43">
        <v>1.7555590000000001</v>
      </c>
      <c r="S43">
        <v>-0.82763399999999998</v>
      </c>
    </row>
    <row r="44" spans="2:19" x14ac:dyDescent="0.3">
      <c r="B44">
        <v>1.7414559999999999</v>
      </c>
      <c r="C44">
        <v>-0.81267199999999995</v>
      </c>
      <c r="N44">
        <v>1.8004560000000001</v>
      </c>
      <c r="O44">
        <v>-0.51469200000000004</v>
      </c>
      <c r="R44">
        <v>1.7547779999999999</v>
      </c>
      <c r="S44">
        <v>-0.83223800000000003</v>
      </c>
    </row>
    <row r="45" spans="2:19" x14ac:dyDescent="0.3">
      <c r="B45">
        <v>1.7420469999999999</v>
      </c>
      <c r="C45">
        <v>-0.81847800000000004</v>
      </c>
      <c r="N45">
        <v>1.7981259999999999</v>
      </c>
      <c r="O45">
        <v>-0.53280300000000003</v>
      </c>
      <c r="R45">
        <v>1.7540720000000001</v>
      </c>
      <c r="S45">
        <v>-0.83638199999999996</v>
      </c>
    </row>
    <row r="46" spans="2:19" x14ac:dyDescent="0.3">
      <c r="B46">
        <v>1.74258</v>
      </c>
      <c r="C46">
        <v>-0.82373200000000002</v>
      </c>
      <c r="N46">
        <v>1.795887</v>
      </c>
      <c r="O46">
        <v>-0.54999699999999996</v>
      </c>
      <c r="R46">
        <v>1.7534339999999999</v>
      </c>
      <c r="S46">
        <v>-0.84011199999999997</v>
      </c>
    </row>
    <row r="47" spans="2:19" x14ac:dyDescent="0.3">
      <c r="B47">
        <v>1.743061</v>
      </c>
      <c r="C47">
        <v>-0.828488</v>
      </c>
      <c r="N47">
        <v>1.7937369999999999</v>
      </c>
      <c r="O47">
        <v>-0.56631900000000002</v>
      </c>
      <c r="R47">
        <v>1.7528570000000001</v>
      </c>
      <c r="S47">
        <v>-0.84346900000000002</v>
      </c>
    </row>
    <row r="48" spans="2:19" x14ac:dyDescent="0.3">
      <c r="B48">
        <v>1.7434940000000001</v>
      </c>
      <c r="C48">
        <v>-0.83279199999999998</v>
      </c>
      <c r="N48">
        <v>1.7916730000000001</v>
      </c>
      <c r="O48">
        <v>-0.58181499999999997</v>
      </c>
      <c r="R48">
        <v>1.7523359999999999</v>
      </c>
      <c r="S48">
        <v>-0.84649099999999999</v>
      </c>
    </row>
    <row r="49" spans="2:19" x14ac:dyDescent="0.3">
      <c r="B49">
        <v>1.7438849999999999</v>
      </c>
      <c r="C49">
        <v>-0.83668799999999999</v>
      </c>
      <c r="N49">
        <v>1.7896920000000001</v>
      </c>
      <c r="O49">
        <v>-0.59652499999999997</v>
      </c>
      <c r="R49">
        <v>1.7518659999999999</v>
      </c>
      <c r="S49">
        <v>-0.84921100000000005</v>
      </c>
    </row>
    <row r="50" spans="2:19" x14ac:dyDescent="0.3">
      <c r="B50">
        <v>1.744238</v>
      </c>
      <c r="C50">
        <v>-0.84021299999999999</v>
      </c>
      <c r="N50">
        <v>1.787792</v>
      </c>
      <c r="O50">
        <v>-0.61049100000000001</v>
      </c>
      <c r="R50">
        <v>1.751441</v>
      </c>
      <c r="S50">
        <v>-0.85165999999999997</v>
      </c>
    </row>
    <row r="51" spans="2:19" x14ac:dyDescent="0.3">
      <c r="B51">
        <v>1.7445569999999999</v>
      </c>
      <c r="C51">
        <v>-0.84340400000000004</v>
      </c>
      <c r="N51">
        <v>1.7859700000000001</v>
      </c>
      <c r="O51">
        <v>-0.62375000000000003</v>
      </c>
      <c r="R51">
        <v>1.751058</v>
      </c>
      <c r="S51">
        <v>-0.85386499999999999</v>
      </c>
    </row>
    <row r="52" spans="2:19" x14ac:dyDescent="0.3">
      <c r="B52">
        <v>1.7448440000000001</v>
      </c>
      <c r="C52">
        <v>-0.84629100000000002</v>
      </c>
      <c r="N52">
        <v>1.7842229999999999</v>
      </c>
      <c r="O52">
        <v>-0.63633899999999999</v>
      </c>
      <c r="R52">
        <v>1.750712</v>
      </c>
      <c r="S52">
        <v>-0.85585</v>
      </c>
    </row>
    <row r="53" spans="2:19" x14ac:dyDescent="0.3">
      <c r="B53">
        <v>1.745104</v>
      </c>
      <c r="C53">
        <v>-0.84890399999999999</v>
      </c>
      <c r="N53">
        <v>1.7825489999999999</v>
      </c>
      <c r="O53">
        <v>-0.64829000000000003</v>
      </c>
      <c r="R53">
        <v>1.7504</v>
      </c>
      <c r="S53">
        <v>-0.85763599999999995</v>
      </c>
    </row>
    <row r="54" spans="2:19" x14ac:dyDescent="0.3">
      <c r="B54">
        <v>1.745339</v>
      </c>
      <c r="C54">
        <v>-0.85126900000000005</v>
      </c>
      <c r="N54">
        <v>1.780945</v>
      </c>
      <c r="O54">
        <v>-0.65963700000000003</v>
      </c>
      <c r="R54">
        <v>1.7501180000000001</v>
      </c>
      <c r="S54">
        <v>-0.85924500000000004</v>
      </c>
    </row>
    <row r="55" spans="2:19" x14ac:dyDescent="0.3">
      <c r="B55">
        <v>1.7455510000000001</v>
      </c>
      <c r="C55">
        <v>-0.85340899999999997</v>
      </c>
      <c r="N55">
        <v>1.779409</v>
      </c>
      <c r="O55">
        <v>-0.67041099999999998</v>
      </c>
      <c r="R55">
        <v>1.749865</v>
      </c>
      <c r="S55">
        <v>-0.86069300000000004</v>
      </c>
    </row>
    <row r="56" spans="2:19" x14ac:dyDescent="0.3">
      <c r="B56">
        <v>1.7457419999999999</v>
      </c>
      <c r="C56">
        <v>-0.85534600000000005</v>
      </c>
      <c r="N56">
        <v>1.777938</v>
      </c>
      <c r="O56">
        <v>-0.68064000000000002</v>
      </c>
      <c r="R56">
        <v>1.749636</v>
      </c>
      <c r="S56">
        <v>-0.86199700000000001</v>
      </c>
    </row>
    <row r="57" spans="2:19" x14ac:dyDescent="0.3">
      <c r="B57">
        <v>1.745916</v>
      </c>
      <c r="C57">
        <v>-0.85709800000000003</v>
      </c>
      <c r="N57">
        <v>1.7765299999999999</v>
      </c>
      <c r="O57">
        <v>-0.69035299999999999</v>
      </c>
      <c r="R57">
        <v>1.7494289999999999</v>
      </c>
      <c r="S57">
        <v>-0.86316999999999999</v>
      </c>
    </row>
    <row r="58" spans="2:19" x14ac:dyDescent="0.3">
      <c r="B58">
        <v>1.7460720000000001</v>
      </c>
      <c r="C58">
        <v>-0.858684</v>
      </c>
      <c r="N58">
        <v>1.775183</v>
      </c>
      <c r="O58">
        <v>-0.69957499999999995</v>
      </c>
      <c r="R58">
        <v>1.7492430000000001</v>
      </c>
      <c r="S58">
        <v>-0.86422699999999997</v>
      </c>
    </row>
    <row r="59" spans="2:19" x14ac:dyDescent="0.3">
      <c r="B59">
        <v>1.7462139999999999</v>
      </c>
      <c r="C59">
        <v>-0.86012</v>
      </c>
      <c r="N59">
        <v>1.773895</v>
      </c>
      <c r="O59">
        <v>-0.70833199999999996</v>
      </c>
      <c r="R59">
        <v>1.7490760000000001</v>
      </c>
      <c r="S59">
        <v>-0.86517900000000003</v>
      </c>
    </row>
    <row r="60" spans="2:19" x14ac:dyDescent="0.3">
      <c r="B60">
        <v>1.7463409999999999</v>
      </c>
      <c r="C60">
        <v>-0.86141800000000002</v>
      </c>
      <c r="N60">
        <v>1.7726630000000001</v>
      </c>
      <c r="O60">
        <v>-0.71664700000000003</v>
      </c>
    </row>
    <row r="61" spans="2:19" x14ac:dyDescent="0.3">
      <c r="B61">
        <v>1.7464569999999999</v>
      </c>
      <c r="C61">
        <v>-0.86259300000000005</v>
      </c>
      <c r="N61">
        <v>1.771485</v>
      </c>
      <c r="O61">
        <v>-0.72454200000000002</v>
      </c>
    </row>
    <row r="62" spans="2:19" x14ac:dyDescent="0.3">
      <c r="B62">
        <v>1.7465619999999999</v>
      </c>
      <c r="C62">
        <v>-0.86365700000000001</v>
      </c>
      <c r="N62">
        <v>1.770359</v>
      </c>
      <c r="O62">
        <v>-0.732039</v>
      </c>
    </row>
    <row r="63" spans="2:19" x14ac:dyDescent="0.3">
      <c r="B63">
        <v>1.746656</v>
      </c>
      <c r="C63">
        <v>-0.86461900000000003</v>
      </c>
      <c r="N63">
        <v>1.7692829999999999</v>
      </c>
      <c r="O63">
        <v>-0.73915799999999998</v>
      </c>
    </row>
    <row r="64" spans="2:19" x14ac:dyDescent="0.3">
      <c r="N64">
        <v>1.768256</v>
      </c>
      <c r="O64">
        <v>-0.74591799999999997</v>
      </c>
    </row>
    <row r="65" spans="14:15" x14ac:dyDescent="0.3">
      <c r="N65">
        <v>1.767274</v>
      </c>
      <c r="O65">
        <v>-0.75233799999999995</v>
      </c>
    </row>
    <row r="66" spans="14:15" x14ac:dyDescent="0.3">
      <c r="N66">
        <v>1.766337</v>
      </c>
      <c r="O66">
        <v>-0.75843400000000005</v>
      </c>
    </row>
    <row r="67" spans="14:15" x14ac:dyDescent="0.3">
      <c r="N67">
        <v>1.765442</v>
      </c>
      <c r="O67">
        <v>-0.76422400000000001</v>
      </c>
    </row>
    <row r="68" spans="14:15" x14ac:dyDescent="0.3">
      <c r="N68">
        <v>1.764588</v>
      </c>
      <c r="O68">
        <v>-0.76972099999999999</v>
      </c>
    </row>
    <row r="69" spans="14:15" x14ac:dyDescent="0.3">
      <c r="N69">
        <v>1.763773</v>
      </c>
      <c r="O69">
        <v>-0.77494300000000005</v>
      </c>
    </row>
    <row r="70" spans="14:15" x14ac:dyDescent="0.3">
      <c r="N70">
        <v>1.7629950000000001</v>
      </c>
      <c r="O70">
        <v>-0.77990099999999996</v>
      </c>
    </row>
    <row r="71" spans="14:15" x14ac:dyDescent="0.3">
      <c r="N71">
        <v>1.7622530000000001</v>
      </c>
      <c r="O71">
        <v>-0.78461000000000003</v>
      </c>
    </row>
    <row r="72" spans="14:15" x14ac:dyDescent="0.3">
      <c r="N72">
        <v>1.7615460000000001</v>
      </c>
      <c r="O72">
        <v>-0.78908199999999995</v>
      </c>
    </row>
    <row r="73" spans="14:15" x14ac:dyDescent="0.3">
      <c r="N73">
        <v>1.7608710000000001</v>
      </c>
      <c r="O73">
        <v>-0.79332899999999995</v>
      </c>
    </row>
    <row r="74" spans="14:15" x14ac:dyDescent="0.3">
      <c r="N74">
        <v>1.7602279999999999</v>
      </c>
      <c r="O74">
        <v>-0.79736300000000004</v>
      </c>
    </row>
    <row r="75" spans="14:15" x14ac:dyDescent="0.3">
      <c r="N75">
        <v>1.7596149999999999</v>
      </c>
      <c r="O75">
        <v>-0.80119399999999996</v>
      </c>
    </row>
    <row r="76" spans="14:15" x14ac:dyDescent="0.3">
      <c r="N76">
        <v>1.7590300000000001</v>
      </c>
      <c r="O76">
        <v>-0.80483199999999999</v>
      </c>
    </row>
    <row r="77" spans="14:15" x14ac:dyDescent="0.3">
      <c r="N77">
        <v>1.7584740000000001</v>
      </c>
      <c r="O77">
        <v>-0.80828800000000001</v>
      </c>
    </row>
    <row r="78" spans="14:15" x14ac:dyDescent="0.3">
      <c r="N78">
        <v>1.757943</v>
      </c>
      <c r="O78">
        <v>-0.81157000000000001</v>
      </c>
    </row>
    <row r="79" spans="14:15" x14ac:dyDescent="0.3">
      <c r="N79">
        <v>1.7574369999999999</v>
      </c>
      <c r="O79">
        <v>-0.81468700000000005</v>
      </c>
    </row>
    <row r="80" spans="14:15" x14ac:dyDescent="0.3">
      <c r="N80">
        <v>1.756956</v>
      </c>
      <c r="O80">
        <v>-0.81764800000000004</v>
      </c>
    </row>
    <row r="81" spans="14:15" x14ac:dyDescent="0.3">
      <c r="N81">
        <v>1.756497</v>
      </c>
      <c r="O81">
        <v>-0.82045999999999997</v>
      </c>
    </row>
    <row r="82" spans="14:15" x14ac:dyDescent="0.3">
      <c r="N82">
        <v>1.75606</v>
      </c>
      <c r="O82">
        <v>-0.82313099999999995</v>
      </c>
    </row>
    <row r="83" spans="14:15" x14ac:dyDescent="0.3">
      <c r="N83">
        <v>1.755644</v>
      </c>
      <c r="O83">
        <v>-0.82566799999999996</v>
      </c>
    </row>
    <row r="84" spans="14:15" x14ac:dyDescent="0.3">
      <c r="N84">
        <v>1.7552479999999999</v>
      </c>
      <c r="O84">
        <v>-0.82807799999999998</v>
      </c>
    </row>
    <row r="85" spans="14:15" x14ac:dyDescent="0.3">
      <c r="N85">
        <v>1.7548710000000001</v>
      </c>
      <c r="O85">
        <v>-0.83036699999999997</v>
      </c>
    </row>
    <row r="86" spans="14:15" x14ac:dyDescent="0.3">
      <c r="N86">
        <v>1.7545120000000001</v>
      </c>
      <c r="O86">
        <v>-0.83254099999999998</v>
      </c>
    </row>
    <row r="87" spans="14:15" x14ac:dyDescent="0.3">
      <c r="N87">
        <v>1.7541709999999999</v>
      </c>
      <c r="O87">
        <v>-0.83460599999999996</v>
      </c>
    </row>
    <row r="88" spans="14:15" x14ac:dyDescent="0.3">
      <c r="N88">
        <v>1.753846</v>
      </c>
      <c r="O88">
        <v>-0.83656699999999995</v>
      </c>
    </row>
    <row r="89" spans="14:15" x14ac:dyDescent="0.3">
      <c r="N89">
        <v>1.753536</v>
      </c>
      <c r="O89">
        <v>-0.83843000000000001</v>
      </c>
    </row>
    <row r="90" spans="14:15" x14ac:dyDescent="0.3">
      <c r="N90">
        <v>1.753242</v>
      </c>
      <c r="O90">
        <v>-0.84019999999999995</v>
      </c>
    </row>
    <row r="91" spans="14:15" x14ac:dyDescent="0.3">
      <c r="N91">
        <v>1.752961</v>
      </c>
      <c r="O91">
        <v>-0.84188099999999999</v>
      </c>
    </row>
    <row r="92" spans="14:15" x14ac:dyDescent="0.3">
      <c r="N92">
        <v>1.7526949999999999</v>
      </c>
      <c r="O92">
        <v>-0.84347700000000003</v>
      </c>
    </row>
    <row r="93" spans="14:15" x14ac:dyDescent="0.3">
      <c r="N93">
        <v>1.7524409999999999</v>
      </c>
      <c r="O93">
        <v>-0.84499400000000002</v>
      </c>
    </row>
    <row r="94" spans="14:15" x14ac:dyDescent="0.3">
      <c r="N94">
        <v>1.7522</v>
      </c>
      <c r="O94">
        <v>-0.84643500000000005</v>
      </c>
    </row>
    <row r="95" spans="14:15" x14ac:dyDescent="0.3">
      <c r="N95">
        <v>1.75197</v>
      </c>
      <c r="O95">
        <v>-0.84780299999999997</v>
      </c>
    </row>
    <row r="96" spans="14:15" x14ac:dyDescent="0.3">
      <c r="N96">
        <v>1.751752</v>
      </c>
      <c r="O96">
        <v>-0.84910300000000005</v>
      </c>
    </row>
    <row r="97" spans="14:15" x14ac:dyDescent="0.3">
      <c r="N97">
        <v>1.751544</v>
      </c>
      <c r="O97">
        <v>-0.85033800000000004</v>
      </c>
    </row>
    <row r="98" spans="14:15" x14ac:dyDescent="0.3">
      <c r="N98">
        <v>1.751347</v>
      </c>
      <c r="O98">
        <v>-0.85151100000000002</v>
      </c>
    </row>
    <row r="99" spans="14:15" x14ac:dyDescent="0.3">
      <c r="N99">
        <v>1.7511589999999999</v>
      </c>
      <c r="O99">
        <v>-0.85262499999999997</v>
      </c>
    </row>
    <row r="100" spans="14:15" x14ac:dyDescent="0.3">
      <c r="N100">
        <v>1.75098</v>
      </c>
      <c r="O100">
        <v>-0.853684</v>
      </c>
    </row>
    <row r="101" spans="14:15" x14ac:dyDescent="0.3">
      <c r="N101">
        <v>1.7508109999999999</v>
      </c>
      <c r="O101">
        <v>-0.85468900000000003</v>
      </c>
    </row>
    <row r="102" spans="14:15" x14ac:dyDescent="0.3">
      <c r="N102">
        <v>1.7506489999999999</v>
      </c>
      <c r="O102">
        <v>-0.85564399999999996</v>
      </c>
    </row>
  </sheetData>
  <mergeCells count="13">
    <mergeCell ref="A1:A3"/>
    <mergeCell ref="N1:S1"/>
    <mergeCell ref="N2:O2"/>
    <mergeCell ref="P2:Q2"/>
    <mergeCell ref="R2:S2"/>
    <mergeCell ref="B1:G1"/>
    <mergeCell ref="B2:C2"/>
    <mergeCell ref="D2:E2"/>
    <mergeCell ref="F2:G2"/>
    <mergeCell ref="H1:M1"/>
    <mergeCell ref="H2:I2"/>
    <mergeCell ref="J2:K2"/>
    <mergeCell ref="L2:M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G5" sqref="G5"/>
    </sheetView>
  </sheetViews>
  <sheetFormatPr defaultRowHeight="14.4" x14ac:dyDescent="0.3"/>
  <cols>
    <col min="1" max="1" width="8.6640625" style="25" customWidth="1"/>
    <col min="2" max="6" width="15.6640625" customWidth="1"/>
    <col min="7" max="7" width="8.6640625" customWidth="1"/>
  </cols>
  <sheetData>
    <row r="1" spans="1:7" ht="30" customHeight="1" x14ac:dyDescent="0.3">
      <c r="A1" s="65" t="s">
        <v>8</v>
      </c>
      <c r="B1" s="64" t="s">
        <v>7</v>
      </c>
      <c r="C1" s="64"/>
      <c r="D1" s="64"/>
      <c r="E1" s="64"/>
      <c r="F1" s="61"/>
      <c r="G1" s="63"/>
    </row>
    <row r="2" spans="1:7" ht="30" customHeight="1" thickBot="1" x14ac:dyDescent="0.35">
      <c r="A2" s="66"/>
      <c r="B2" s="22" t="s">
        <v>16</v>
      </c>
      <c r="C2" s="37" t="s">
        <v>17</v>
      </c>
      <c r="D2" s="6" t="s">
        <v>18</v>
      </c>
      <c r="E2" s="23" t="s">
        <v>19</v>
      </c>
      <c r="F2" s="23" t="s">
        <v>20</v>
      </c>
      <c r="G2" s="7" t="s">
        <v>10</v>
      </c>
    </row>
    <row r="3" spans="1:7" ht="15" thickBot="1" x14ac:dyDescent="0.35">
      <c r="A3" s="29">
        <v>0.01</v>
      </c>
      <c r="B3" s="21"/>
      <c r="C3" s="17"/>
      <c r="D3" s="17"/>
      <c r="E3" s="17"/>
      <c r="F3" s="17"/>
      <c r="G3" s="18"/>
    </row>
    <row r="4" spans="1:7" ht="15" thickBot="1" x14ac:dyDescent="0.35">
      <c r="A4" s="30">
        <v>1E-3</v>
      </c>
      <c r="B4" s="84">
        <v>-2.12E-4</v>
      </c>
      <c r="C4" s="85">
        <v>6.2890000000000003E-3</v>
      </c>
      <c r="D4" s="85">
        <v>1.098E-2</v>
      </c>
      <c r="E4" s="85">
        <v>0.53445600000000004</v>
      </c>
      <c r="F4" s="85">
        <v>0.7</v>
      </c>
      <c r="G4" s="86">
        <v>10</v>
      </c>
    </row>
    <row r="5" spans="1:7" ht="15" thickBot="1" x14ac:dyDescent="0.35">
      <c r="A5" s="31">
        <v>1E-4</v>
      </c>
      <c r="B5" s="87">
        <v>7.4999999999999993E-5</v>
      </c>
      <c r="C5" s="88">
        <v>8.2000000000000007E-3</v>
      </c>
      <c r="D5" s="88">
        <v>9.5340000000000008E-3</v>
      </c>
      <c r="E5" s="88">
        <v>0.53512300000000002</v>
      </c>
      <c r="F5" s="88">
        <v>0.7</v>
      </c>
      <c r="G5" s="89">
        <v>16</v>
      </c>
    </row>
  </sheetData>
  <mergeCells count="2">
    <mergeCell ref="A1:A2"/>
    <mergeCell ref="B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A5E5-678E-4C7F-9CBD-F13F3DBED583}">
  <dimension ref="B3:K113"/>
  <sheetViews>
    <sheetView tabSelected="1" topLeftCell="A9" zoomScale="115" zoomScaleNormal="115" workbookViewId="0">
      <selection activeCell="N37" sqref="N37"/>
    </sheetView>
  </sheetViews>
  <sheetFormatPr defaultRowHeight="14.4" x14ac:dyDescent="0.3"/>
  <cols>
    <col min="1" max="16384" width="8.88671875" style="90"/>
  </cols>
  <sheetData>
    <row r="3" spans="2:11" ht="15" thickBot="1" x14ac:dyDescent="0.35"/>
    <row r="4" spans="2:11" ht="15" thickBot="1" x14ac:dyDescent="0.35">
      <c r="D4" s="87">
        <v>7.4999999999999993E-5</v>
      </c>
      <c r="E4" s="88">
        <v>8.2000000000000007E-3</v>
      </c>
      <c r="F4" s="88">
        <v>9.5340000000000008E-3</v>
      </c>
    </row>
    <row r="9" spans="2:11" x14ac:dyDescent="0.3">
      <c r="K9" s="90">
        <v>80</v>
      </c>
    </row>
    <row r="13" spans="2:11" x14ac:dyDescent="0.3">
      <c r="F13" s="91">
        <v>1</v>
      </c>
      <c r="G13" s="91"/>
      <c r="H13" s="91">
        <v>0</v>
      </c>
      <c r="I13" s="91"/>
      <c r="J13" s="90" t="s">
        <v>25</v>
      </c>
      <c r="K13" s="90" t="s">
        <v>26</v>
      </c>
    </row>
    <row r="14" spans="2:11" x14ac:dyDescent="0.3">
      <c r="B14" s="90">
        <v>1</v>
      </c>
      <c r="C14" s="90">
        <v>57</v>
      </c>
      <c r="D14" s="90">
        <v>68</v>
      </c>
      <c r="E14" s="90">
        <v>1</v>
      </c>
      <c r="F14" s="90" cm="1">
        <f t="array" ref="F14:G14">IF(E14,C14:D14, NA())</f>
        <v>57</v>
      </c>
      <c r="G14" s="90">
        <v>68</v>
      </c>
      <c r="H14" s="90" t="e" cm="1">
        <f t="array" ref="H14">IF(E14=0,C14:D14,NA())</f>
        <v>#N/A</v>
      </c>
      <c r="J14" s="90">
        <v>57</v>
      </c>
      <c r="K14" s="90">
        <f>-($D$4+$E$4*C14)/$F$4+$K$9</f>
        <v>30.967589679043428</v>
      </c>
    </row>
    <row r="15" spans="2:11" x14ac:dyDescent="0.3">
      <c r="B15" s="90">
        <v>1</v>
      </c>
      <c r="C15" s="90">
        <v>86</v>
      </c>
      <c r="D15" s="90">
        <v>87</v>
      </c>
      <c r="E15" s="90">
        <v>1</v>
      </c>
      <c r="F15" s="90" cm="1">
        <f t="array" ref="F15:G15">IF(E15,C15:D15, NA())</f>
        <v>86</v>
      </c>
      <c r="G15" s="90">
        <v>87</v>
      </c>
      <c r="H15" s="90" t="e" cm="1">
        <f t="array" ref="H15">IF(E15=0,C15:D15,NA())</f>
        <v>#N/A</v>
      </c>
      <c r="J15" s="90">
        <v>86</v>
      </c>
      <c r="K15" s="90">
        <f t="shared" ref="K15:K78" si="0">-($D$4+$E$4*C15)/$F$4+$K$9</f>
        <v>6.0252779525907272</v>
      </c>
    </row>
    <row r="16" spans="2:11" x14ac:dyDescent="0.3">
      <c r="B16" s="90">
        <v>1</v>
      </c>
      <c r="C16" s="90">
        <v>86</v>
      </c>
      <c r="D16" s="90">
        <v>46</v>
      </c>
      <c r="E16" s="90">
        <v>1</v>
      </c>
      <c r="F16" s="90" cm="1">
        <f t="array" ref="F16:G16">IF(E16,C16:D16, NA())</f>
        <v>86</v>
      </c>
      <c r="G16" s="90">
        <v>46</v>
      </c>
      <c r="H16" s="90" t="e" cm="1">
        <f t="array" ref="H16">IF(E16=0,C16:D16,NA())</f>
        <v>#N/A</v>
      </c>
      <c r="J16" s="90">
        <v>86</v>
      </c>
      <c r="K16" s="90">
        <f t="shared" si="0"/>
        <v>6.0252779525907272</v>
      </c>
    </row>
    <row r="17" spans="2:11" x14ac:dyDescent="0.3">
      <c r="B17" s="90">
        <v>1</v>
      </c>
      <c r="C17" s="90">
        <v>71</v>
      </c>
      <c r="D17" s="90">
        <v>25</v>
      </c>
      <c r="E17" s="90">
        <v>0</v>
      </c>
      <c r="F17" s="90" t="e" cm="1">
        <f t="array" ref="F17">IF(E17,C17:D17, NA())</f>
        <v>#N/A</v>
      </c>
      <c r="H17" s="90" cm="1">
        <f t="array" ref="H17:I17">IF(E17=0,C17:D17,NA())</f>
        <v>71</v>
      </c>
      <c r="I17" s="90">
        <v>25</v>
      </c>
      <c r="J17" s="90">
        <v>71</v>
      </c>
      <c r="K17" s="90">
        <f t="shared" si="0"/>
        <v>18.926473673169703</v>
      </c>
    </row>
    <row r="18" spans="2:11" x14ac:dyDescent="0.3">
      <c r="B18" s="90">
        <v>1</v>
      </c>
      <c r="C18" s="90">
        <v>75</v>
      </c>
      <c r="D18" s="90">
        <v>77</v>
      </c>
      <c r="E18" s="90">
        <v>1</v>
      </c>
      <c r="F18" s="90" cm="1">
        <f t="array" ref="F18:G18">IF(E18,C18:D18, NA())</f>
        <v>75</v>
      </c>
      <c r="G18" s="90">
        <v>77</v>
      </c>
      <c r="H18" s="90" t="e" cm="1">
        <f t="array" ref="H18">IF(E18=0,C18:D18,NA())</f>
        <v>#N/A</v>
      </c>
      <c r="J18" s="90">
        <v>75</v>
      </c>
      <c r="K18" s="90">
        <f t="shared" si="0"/>
        <v>15.486154814348637</v>
      </c>
    </row>
    <row r="19" spans="2:11" x14ac:dyDescent="0.3">
      <c r="B19" s="90">
        <v>1</v>
      </c>
      <c r="C19" s="90">
        <v>84</v>
      </c>
      <c r="D19" s="90">
        <v>53</v>
      </c>
      <c r="E19" s="90">
        <v>1</v>
      </c>
      <c r="F19" s="90" cm="1">
        <f t="array" ref="F19:G19">IF(E19,C19:D19, NA())</f>
        <v>84</v>
      </c>
      <c r="G19" s="90">
        <v>53</v>
      </c>
      <c r="H19" s="90" t="e" cm="1">
        <f t="array" ref="H19">IF(E19=0,C19:D19,NA())</f>
        <v>#N/A</v>
      </c>
      <c r="J19" s="90">
        <v>84</v>
      </c>
      <c r="K19" s="90">
        <f t="shared" si="0"/>
        <v>7.7454373820012563</v>
      </c>
    </row>
    <row r="20" spans="2:11" x14ac:dyDescent="0.3">
      <c r="B20" s="90">
        <v>1</v>
      </c>
      <c r="C20" s="90">
        <v>89</v>
      </c>
      <c r="D20" s="90">
        <v>93</v>
      </c>
      <c r="E20" s="90">
        <v>1</v>
      </c>
      <c r="F20" s="90" cm="1">
        <f t="array" ref="F20:G20">IF(E20,C20:D20, NA())</f>
        <v>89</v>
      </c>
      <c r="G20" s="90">
        <v>93</v>
      </c>
      <c r="H20" s="90" t="e" cm="1">
        <f t="array" ref="H20">IF(E20=0,C20:D20,NA())</f>
        <v>#N/A</v>
      </c>
      <c r="J20" s="90">
        <v>89</v>
      </c>
      <c r="K20" s="90">
        <f t="shared" si="0"/>
        <v>3.4450388084749193</v>
      </c>
    </row>
    <row r="21" spans="2:11" x14ac:dyDescent="0.3">
      <c r="B21" s="90">
        <v>1</v>
      </c>
      <c r="C21" s="90">
        <v>68</v>
      </c>
      <c r="D21" s="90">
        <v>96</v>
      </c>
      <c r="E21" s="90">
        <v>1</v>
      </c>
      <c r="F21" s="90" cm="1">
        <f t="array" ref="F21:G21">IF(E21,C21:D21, NA())</f>
        <v>68</v>
      </c>
      <c r="G21" s="90">
        <v>96</v>
      </c>
      <c r="H21" s="90" t="e" cm="1">
        <f t="array" ref="H21">IF(E21=0,C21:D21,NA())</f>
        <v>#N/A</v>
      </c>
      <c r="J21" s="90">
        <v>68</v>
      </c>
      <c r="K21" s="90">
        <f t="shared" si="0"/>
        <v>21.506712817285496</v>
      </c>
    </row>
    <row r="22" spans="2:11" x14ac:dyDescent="0.3">
      <c r="B22" s="90">
        <v>1</v>
      </c>
      <c r="C22" s="90">
        <v>50</v>
      </c>
      <c r="D22" s="90">
        <v>34</v>
      </c>
      <c r="E22" s="90">
        <v>0</v>
      </c>
      <c r="F22" s="90" t="e" cm="1">
        <f t="array" ref="F22">IF(E22,C22:D22, NA())</f>
        <v>#N/A</v>
      </c>
      <c r="H22" s="90" cm="1">
        <f t="array" ref="H22:I22">IF(E22=0,C22:D22,NA())</f>
        <v>50</v>
      </c>
      <c r="I22" s="90">
        <v>34</v>
      </c>
      <c r="J22" s="90">
        <v>50</v>
      </c>
      <c r="K22" s="90">
        <f t="shared" si="0"/>
        <v>36.98814768198028</v>
      </c>
    </row>
    <row r="23" spans="2:11" x14ac:dyDescent="0.3">
      <c r="B23" s="90">
        <v>1</v>
      </c>
      <c r="C23" s="90">
        <v>90</v>
      </c>
      <c r="D23" s="90">
        <v>92</v>
      </c>
      <c r="E23" s="90">
        <v>1</v>
      </c>
      <c r="F23" s="90" cm="1">
        <f t="array" ref="F23:G23">IF(E23,C23:D23, NA())</f>
        <v>90</v>
      </c>
      <c r="G23" s="90">
        <v>92</v>
      </c>
      <c r="H23" s="90" t="e" cm="1">
        <f t="array" ref="H23">IF(E23=0,C23:D23,NA())</f>
        <v>#N/A</v>
      </c>
      <c r="J23" s="90">
        <v>90</v>
      </c>
      <c r="K23" s="90">
        <f t="shared" si="0"/>
        <v>2.5849590937696547</v>
      </c>
    </row>
    <row r="24" spans="2:11" x14ac:dyDescent="0.3">
      <c r="B24" s="90">
        <v>1</v>
      </c>
      <c r="C24" s="90">
        <v>53</v>
      </c>
      <c r="D24" s="90">
        <v>87</v>
      </c>
      <c r="E24" s="90">
        <v>1</v>
      </c>
      <c r="F24" s="90" cm="1">
        <f t="array" ref="F24:G24">IF(E24,C24:D24, NA())</f>
        <v>53</v>
      </c>
      <c r="G24" s="90">
        <v>87</v>
      </c>
      <c r="H24" s="90" t="e" cm="1">
        <f t="array" ref="H24">IF(E24=0,C24:D24,NA())</f>
        <v>#N/A</v>
      </c>
      <c r="J24" s="90">
        <v>53</v>
      </c>
      <c r="K24" s="90">
        <f t="shared" si="0"/>
        <v>34.407908537864486</v>
      </c>
    </row>
    <row r="25" spans="2:11" x14ac:dyDescent="0.3">
      <c r="B25" s="90">
        <v>1</v>
      </c>
      <c r="C25" s="90">
        <v>40</v>
      </c>
      <c r="D25" s="90">
        <v>49</v>
      </c>
      <c r="E25" s="90">
        <v>0</v>
      </c>
      <c r="F25" s="90" t="e" cm="1">
        <f t="array" ref="F25">IF(E25,C25:D25, NA())</f>
        <v>#N/A</v>
      </c>
      <c r="H25" s="90" cm="1">
        <f t="array" ref="H25:I25">IF(E25=0,C25:D25,NA())</f>
        <v>40</v>
      </c>
      <c r="I25" s="90">
        <v>49</v>
      </c>
      <c r="J25" s="90">
        <v>40</v>
      </c>
      <c r="K25" s="90">
        <f t="shared" si="0"/>
        <v>45.58894482903294</v>
      </c>
    </row>
    <row r="26" spans="2:11" x14ac:dyDescent="0.3">
      <c r="B26" s="90">
        <v>1</v>
      </c>
      <c r="C26" s="90">
        <v>40</v>
      </c>
      <c r="D26" s="90">
        <v>68</v>
      </c>
      <c r="E26" s="90">
        <v>1</v>
      </c>
      <c r="F26" s="90" cm="1">
        <f t="array" ref="F26:G26">IF(E26,C26:D26, NA())</f>
        <v>40</v>
      </c>
      <c r="G26" s="90">
        <v>68</v>
      </c>
      <c r="H26" s="90" t="e" cm="1">
        <f t="array" ref="H26">IF(E26=0,C26:D26,NA())</f>
        <v>#N/A</v>
      </c>
      <c r="J26" s="90">
        <v>40</v>
      </c>
      <c r="K26" s="90">
        <f t="shared" si="0"/>
        <v>45.58894482903294</v>
      </c>
    </row>
    <row r="27" spans="2:11" x14ac:dyDescent="0.3">
      <c r="B27" s="90">
        <v>1</v>
      </c>
      <c r="C27" s="90">
        <v>28</v>
      </c>
      <c r="D27" s="90">
        <v>56</v>
      </c>
      <c r="E27" s="90">
        <v>0</v>
      </c>
      <c r="F27" s="90" t="e" cm="1">
        <f t="array" ref="F27">IF(E27,C27:D27, NA())</f>
        <v>#N/A</v>
      </c>
      <c r="H27" s="90" cm="1">
        <f t="array" ref="H27:I27">IF(E27=0,C27:D27,NA())</f>
        <v>28</v>
      </c>
      <c r="I27" s="90">
        <v>56</v>
      </c>
      <c r="J27" s="90">
        <v>28</v>
      </c>
      <c r="K27" s="90">
        <f t="shared" si="0"/>
        <v>55.909901405496115</v>
      </c>
    </row>
    <row r="28" spans="2:11" x14ac:dyDescent="0.3">
      <c r="B28" s="90">
        <v>1</v>
      </c>
      <c r="C28" s="90">
        <v>97</v>
      </c>
      <c r="D28" s="90">
        <v>88</v>
      </c>
      <c r="E28" s="90">
        <v>1</v>
      </c>
      <c r="F28" s="90" cm="1">
        <f t="array" ref="F28:G28">IF(E28,C28:D28, NA())</f>
        <v>97</v>
      </c>
      <c r="G28" s="90">
        <v>88</v>
      </c>
      <c r="H28" s="90" t="e" cm="1">
        <f t="array" ref="H28">IF(E28=0,C28:D28,NA())</f>
        <v>#N/A</v>
      </c>
      <c r="J28" s="90">
        <v>97</v>
      </c>
      <c r="K28" s="90">
        <f t="shared" si="0"/>
        <v>-3.4355989091671972</v>
      </c>
    </row>
    <row r="29" spans="2:11" x14ac:dyDescent="0.3">
      <c r="B29" s="90">
        <v>1</v>
      </c>
      <c r="C29" s="90">
        <v>35</v>
      </c>
      <c r="D29" s="90">
        <v>35</v>
      </c>
      <c r="E29" s="90">
        <v>0</v>
      </c>
      <c r="F29" s="90" t="e" cm="1">
        <f t="array" ref="F29">IF(E29,C29:D29, NA())</f>
        <v>#N/A</v>
      </c>
      <c r="H29" s="90" cm="1">
        <f t="array" ref="H29:I29">IF(E29=0,C29:D29,NA())</f>
        <v>35</v>
      </c>
      <c r="I29" s="90">
        <v>35</v>
      </c>
      <c r="J29" s="90">
        <v>35</v>
      </c>
      <c r="K29" s="90">
        <f t="shared" si="0"/>
        <v>49.889343402559263</v>
      </c>
    </row>
    <row r="30" spans="2:11" x14ac:dyDescent="0.3">
      <c r="B30" s="90">
        <v>1</v>
      </c>
      <c r="C30" s="90">
        <v>59</v>
      </c>
      <c r="D30" s="90">
        <v>80</v>
      </c>
      <c r="E30" s="90">
        <v>1</v>
      </c>
      <c r="F30" s="90" cm="1">
        <f t="array" ref="F30:G30">IF(E30,C30:D30, NA())</f>
        <v>59</v>
      </c>
      <c r="G30" s="90">
        <v>80</v>
      </c>
      <c r="H30" s="90" t="e" cm="1">
        <f t="array" ref="H30">IF(E30=0,C30:D30,NA())</f>
        <v>#N/A</v>
      </c>
      <c r="J30" s="90">
        <v>59</v>
      </c>
      <c r="K30" s="90">
        <f t="shared" si="0"/>
        <v>29.247430249632892</v>
      </c>
    </row>
    <row r="31" spans="2:11" x14ac:dyDescent="0.3">
      <c r="B31" s="90">
        <v>1</v>
      </c>
      <c r="C31" s="90">
        <v>29</v>
      </c>
      <c r="D31" s="90">
        <v>75</v>
      </c>
      <c r="E31" s="90">
        <v>0</v>
      </c>
      <c r="F31" s="90" t="e" cm="1">
        <f t="array" ref="F31">IF(E31,C31:D31, NA())</f>
        <v>#N/A</v>
      </c>
      <c r="H31" s="90" cm="1">
        <f t="array" ref="H31:I31">IF(E31=0,C31:D31,NA())</f>
        <v>29</v>
      </c>
      <c r="I31" s="90">
        <v>75</v>
      </c>
      <c r="J31" s="90">
        <v>29</v>
      </c>
      <c r="K31" s="90">
        <f t="shared" si="0"/>
        <v>55.049821690790857</v>
      </c>
    </row>
    <row r="32" spans="2:11" x14ac:dyDescent="0.3">
      <c r="B32" s="90">
        <v>1</v>
      </c>
      <c r="C32" s="90">
        <v>44</v>
      </c>
      <c r="D32" s="90">
        <v>30</v>
      </c>
      <c r="E32" s="90">
        <v>0</v>
      </c>
      <c r="F32" s="90" t="e" cm="1">
        <f t="array" ref="F32">IF(E32,C32:D32, NA())</f>
        <v>#N/A</v>
      </c>
      <c r="H32" s="90" cm="1">
        <f t="array" ref="H32:I32">IF(E32=0,C32:D32,NA())</f>
        <v>44</v>
      </c>
      <c r="I32" s="90">
        <v>30</v>
      </c>
      <c r="J32" s="90">
        <v>44</v>
      </c>
      <c r="K32" s="90">
        <f t="shared" si="0"/>
        <v>42.148625970211874</v>
      </c>
    </row>
    <row r="33" spans="2:11" x14ac:dyDescent="0.3">
      <c r="B33" s="90">
        <v>1</v>
      </c>
      <c r="C33" s="90">
        <v>54</v>
      </c>
      <c r="D33" s="90">
        <v>73</v>
      </c>
      <c r="E33" s="90">
        <v>1</v>
      </c>
      <c r="F33" s="90" cm="1">
        <f t="array" ref="F33:G33">IF(E33,C33:D33, NA())</f>
        <v>54</v>
      </c>
      <c r="G33" s="90">
        <v>73</v>
      </c>
      <c r="H33" s="90" t="e" cm="1">
        <f t="array" ref="H33">IF(E33=0,C33:D33,NA())</f>
        <v>#N/A</v>
      </c>
      <c r="J33" s="90">
        <v>54</v>
      </c>
      <c r="K33" s="90">
        <f t="shared" si="0"/>
        <v>33.547828823159222</v>
      </c>
    </row>
    <row r="34" spans="2:11" x14ac:dyDescent="0.3">
      <c r="B34" s="90">
        <v>1</v>
      </c>
      <c r="C34" s="90">
        <v>22</v>
      </c>
      <c r="D34" s="90">
        <v>77</v>
      </c>
      <c r="E34" s="90">
        <v>0</v>
      </c>
      <c r="F34" s="90" t="e" cm="1">
        <f t="array" ref="F34">IF(E34,C34:D34, NA())</f>
        <v>#N/A</v>
      </c>
      <c r="H34" s="90" cm="1">
        <f t="array" ref="H34:I34">IF(E34=0,C34:D34,NA())</f>
        <v>22</v>
      </c>
      <c r="I34" s="90">
        <v>77</v>
      </c>
      <c r="J34" s="90">
        <v>22</v>
      </c>
      <c r="K34" s="90">
        <f t="shared" si="0"/>
        <v>61.070379693727716</v>
      </c>
    </row>
    <row r="35" spans="2:11" x14ac:dyDescent="0.3">
      <c r="B35" s="90">
        <v>1</v>
      </c>
      <c r="C35" s="90">
        <v>53</v>
      </c>
      <c r="D35" s="90">
        <v>48</v>
      </c>
      <c r="E35" s="90">
        <v>1</v>
      </c>
      <c r="F35" s="90" cm="1">
        <f t="array" ref="F35:G35">IF(E35,C35:D35, NA())</f>
        <v>53</v>
      </c>
      <c r="G35" s="90">
        <v>48</v>
      </c>
      <c r="H35" s="90" t="e" cm="1">
        <f t="array" ref="H35">IF(E35=0,C35:D35,NA())</f>
        <v>#N/A</v>
      </c>
      <c r="J35" s="90">
        <v>53</v>
      </c>
      <c r="K35" s="90">
        <f t="shared" si="0"/>
        <v>34.407908537864486</v>
      </c>
    </row>
    <row r="36" spans="2:11" x14ac:dyDescent="0.3">
      <c r="B36" s="90">
        <v>1</v>
      </c>
      <c r="C36" s="90">
        <v>66</v>
      </c>
      <c r="D36" s="90">
        <v>42</v>
      </c>
      <c r="E36" s="90">
        <v>1</v>
      </c>
      <c r="F36" s="90" cm="1">
        <f t="array" ref="F36:G36">IF(E36,C36:D36, NA())</f>
        <v>66</v>
      </c>
      <c r="G36" s="90">
        <v>42</v>
      </c>
      <c r="H36" s="90" t="e" cm="1">
        <f t="array" ref="H36">IF(E36=0,C36:D36,NA())</f>
        <v>#N/A</v>
      </c>
      <c r="J36" s="90">
        <v>66</v>
      </c>
      <c r="K36" s="90">
        <f t="shared" si="0"/>
        <v>23.226872246696033</v>
      </c>
    </row>
    <row r="37" spans="2:11" x14ac:dyDescent="0.3">
      <c r="B37" s="90">
        <v>1</v>
      </c>
      <c r="C37" s="90">
        <v>26</v>
      </c>
      <c r="D37" s="90">
        <v>87</v>
      </c>
      <c r="E37" s="90">
        <v>0</v>
      </c>
      <c r="F37" s="90" t="e" cm="1">
        <f t="array" ref="F37">IF(E37,C37:D37, NA())</f>
        <v>#N/A</v>
      </c>
      <c r="H37" s="90" cm="1">
        <f t="array" ref="H37:I37">IF(E37=0,C37:D37,NA())</f>
        <v>26</v>
      </c>
      <c r="I37" s="90">
        <v>87</v>
      </c>
      <c r="J37" s="90">
        <v>26</v>
      </c>
      <c r="K37" s="90">
        <f t="shared" si="0"/>
        <v>57.630060834906651</v>
      </c>
    </row>
    <row r="38" spans="2:11" x14ac:dyDescent="0.3">
      <c r="B38" s="90">
        <v>1</v>
      </c>
      <c r="C38" s="90">
        <v>43</v>
      </c>
      <c r="D38" s="90">
        <v>67</v>
      </c>
      <c r="E38" s="90">
        <v>1</v>
      </c>
      <c r="F38" s="90" cm="1">
        <f t="array" ref="F38:G38">IF(E38,C38:D38, NA())</f>
        <v>43</v>
      </c>
      <c r="G38" s="90">
        <v>67</v>
      </c>
      <c r="H38" s="90" t="e" cm="1">
        <f t="array" ref="H38">IF(E38=0,C38:D38,NA())</f>
        <v>#N/A</v>
      </c>
      <c r="J38" s="90">
        <v>43</v>
      </c>
      <c r="K38" s="90">
        <f t="shared" si="0"/>
        <v>43.008705684917139</v>
      </c>
    </row>
    <row r="39" spans="2:11" x14ac:dyDescent="0.3">
      <c r="B39" s="90">
        <v>1</v>
      </c>
      <c r="C39" s="90">
        <v>70</v>
      </c>
      <c r="D39" s="90">
        <v>62</v>
      </c>
      <c r="E39" s="90">
        <v>1</v>
      </c>
      <c r="F39" s="90" cm="1">
        <f t="array" ref="F39:G39">IF(E39,C39:D39, NA())</f>
        <v>70</v>
      </c>
      <c r="G39" s="90">
        <v>62</v>
      </c>
      <c r="H39" s="90" t="e" cm="1">
        <f t="array" ref="H39">IF(E39=0,C39:D39,NA())</f>
        <v>#N/A</v>
      </c>
      <c r="J39" s="90">
        <v>70</v>
      </c>
      <c r="K39" s="90">
        <f t="shared" si="0"/>
        <v>19.786553387874967</v>
      </c>
    </row>
    <row r="40" spans="2:11" x14ac:dyDescent="0.3">
      <c r="B40" s="90">
        <v>1</v>
      </c>
      <c r="C40" s="90">
        <v>100</v>
      </c>
      <c r="D40" s="90">
        <v>96</v>
      </c>
      <c r="E40" s="90">
        <v>1</v>
      </c>
      <c r="F40" s="90" cm="1">
        <f t="array" ref="F40:G40">IF(E40,C40:D40, NA())</f>
        <v>100</v>
      </c>
      <c r="G40" s="90">
        <v>96</v>
      </c>
      <c r="H40" s="90" t="e" cm="1">
        <f t="array" ref="H40">IF(E40=0,C40:D40,NA())</f>
        <v>#N/A</v>
      </c>
      <c r="J40" s="90">
        <v>100</v>
      </c>
      <c r="K40" s="90">
        <f t="shared" si="0"/>
        <v>-6.0158380532829909</v>
      </c>
    </row>
    <row r="41" spans="2:11" x14ac:dyDescent="0.3">
      <c r="B41" s="90">
        <v>1</v>
      </c>
      <c r="C41" s="90">
        <v>64</v>
      </c>
      <c r="D41" s="90">
        <v>56</v>
      </c>
      <c r="E41" s="90">
        <v>1</v>
      </c>
      <c r="F41" s="90" cm="1">
        <f t="array" ref="F41:G41">IF(E41,C41:D41, NA())</f>
        <v>64</v>
      </c>
      <c r="G41" s="90">
        <v>56</v>
      </c>
      <c r="H41" s="90" t="e" cm="1">
        <f t="array" ref="H41">IF(E41=0,C41:D41,NA())</f>
        <v>#N/A</v>
      </c>
      <c r="J41" s="90">
        <v>64</v>
      </c>
      <c r="K41" s="90">
        <f t="shared" si="0"/>
        <v>24.947031676106562</v>
      </c>
    </row>
    <row r="42" spans="2:11" x14ac:dyDescent="0.3">
      <c r="B42" s="90">
        <v>1</v>
      </c>
      <c r="C42" s="90">
        <v>79</v>
      </c>
      <c r="D42" s="90">
        <v>82</v>
      </c>
      <c r="E42" s="90">
        <v>1</v>
      </c>
      <c r="F42" s="90" cm="1">
        <f t="array" ref="F42:G42">IF(E42,C42:D42, NA())</f>
        <v>79</v>
      </c>
      <c r="G42" s="90">
        <v>82</v>
      </c>
      <c r="H42" s="90" t="e" cm="1">
        <f t="array" ref="H42">IF(E42=0,C42:D42,NA())</f>
        <v>#N/A</v>
      </c>
      <c r="J42" s="90">
        <v>79</v>
      </c>
      <c r="K42" s="90">
        <f t="shared" si="0"/>
        <v>12.045835955527579</v>
      </c>
    </row>
    <row r="43" spans="2:11" x14ac:dyDescent="0.3">
      <c r="B43" s="90">
        <v>1</v>
      </c>
      <c r="C43" s="90">
        <v>48</v>
      </c>
      <c r="D43" s="90">
        <v>91</v>
      </c>
      <c r="E43" s="90">
        <v>1</v>
      </c>
      <c r="F43" s="90" cm="1">
        <f t="array" ref="F43:G43">IF(E43,C43:D43, NA())</f>
        <v>48</v>
      </c>
      <c r="G43" s="90">
        <v>91</v>
      </c>
      <c r="H43" s="90" t="e" cm="1">
        <f t="array" ref="H43">IF(E43=0,C43:D43,NA())</f>
        <v>#N/A</v>
      </c>
      <c r="J43" s="90">
        <v>48</v>
      </c>
      <c r="K43" s="90">
        <f t="shared" si="0"/>
        <v>38.708307111390809</v>
      </c>
    </row>
    <row r="44" spans="2:11" x14ac:dyDescent="0.3">
      <c r="B44" s="90">
        <v>1</v>
      </c>
      <c r="C44" s="90">
        <v>82</v>
      </c>
      <c r="D44" s="90">
        <v>79</v>
      </c>
      <c r="E44" s="90">
        <v>1</v>
      </c>
      <c r="F44" s="90" cm="1">
        <f t="array" ref="F44:G44">IF(E44,C44:D44, NA())</f>
        <v>82</v>
      </c>
      <c r="G44" s="90">
        <v>79</v>
      </c>
      <c r="H44" s="90" t="e" cm="1">
        <f t="array" ref="H44">IF(E44=0,C44:D44,NA())</f>
        <v>#N/A</v>
      </c>
      <c r="J44" s="90">
        <v>82</v>
      </c>
      <c r="K44" s="90">
        <f t="shared" si="0"/>
        <v>9.4655968114117854</v>
      </c>
    </row>
    <row r="45" spans="2:11" x14ac:dyDescent="0.3">
      <c r="B45" s="90">
        <v>1</v>
      </c>
      <c r="C45" s="90">
        <v>44</v>
      </c>
      <c r="D45" s="90">
        <v>52</v>
      </c>
      <c r="E45" s="90">
        <v>1</v>
      </c>
      <c r="F45" s="90" cm="1">
        <f t="array" ref="F45:G45">IF(E45,C45:D45, NA())</f>
        <v>44</v>
      </c>
      <c r="G45" s="90">
        <v>52</v>
      </c>
      <c r="H45" s="90" t="e" cm="1">
        <f t="array" ref="H45">IF(E45=0,C45:D45,NA())</f>
        <v>#N/A</v>
      </c>
      <c r="J45" s="90">
        <v>44</v>
      </c>
      <c r="K45" s="90">
        <f t="shared" si="0"/>
        <v>42.148625970211874</v>
      </c>
    </row>
    <row r="46" spans="2:11" x14ac:dyDescent="0.3">
      <c r="B46" s="90">
        <v>1</v>
      </c>
      <c r="C46" s="90">
        <v>50</v>
      </c>
      <c r="D46" s="90">
        <v>45</v>
      </c>
      <c r="E46" s="90">
        <v>1</v>
      </c>
      <c r="F46" s="90" cm="1">
        <f t="array" ref="F46:G46">IF(E46,C46:D46, NA())</f>
        <v>50</v>
      </c>
      <c r="G46" s="90">
        <v>45</v>
      </c>
      <c r="H46" s="90" t="e" cm="1">
        <f t="array" ref="H46">IF(E46=0,C46:D46,NA())</f>
        <v>#N/A</v>
      </c>
      <c r="J46" s="90">
        <v>50</v>
      </c>
      <c r="K46" s="90">
        <f t="shared" si="0"/>
        <v>36.98814768198028</v>
      </c>
    </row>
    <row r="47" spans="2:11" x14ac:dyDescent="0.3">
      <c r="B47" s="90">
        <v>1</v>
      </c>
      <c r="C47" s="90">
        <v>95</v>
      </c>
      <c r="D47" s="90">
        <v>53</v>
      </c>
      <c r="E47" s="90">
        <v>1</v>
      </c>
      <c r="F47" s="90" cm="1">
        <f t="array" ref="F47:G47">IF(E47,C47:D47, NA())</f>
        <v>95</v>
      </c>
      <c r="G47" s="90">
        <v>53</v>
      </c>
      <c r="H47" s="90" t="e" cm="1">
        <f t="array" ref="H47">IF(E47=0,C47:D47,NA())</f>
        <v>#N/A</v>
      </c>
      <c r="J47" s="90">
        <v>95</v>
      </c>
      <c r="K47" s="90">
        <f t="shared" si="0"/>
        <v>-1.7154394797566681</v>
      </c>
    </row>
    <row r="48" spans="2:11" x14ac:dyDescent="0.3">
      <c r="B48" s="90">
        <v>1</v>
      </c>
      <c r="C48" s="90">
        <v>28</v>
      </c>
      <c r="D48" s="90">
        <v>45</v>
      </c>
      <c r="E48" s="90">
        <v>0</v>
      </c>
      <c r="F48" s="90" t="e" cm="1">
        <f t="array" ref="F48">IF(E48,C48:D48, NA())</f>
        <v>#N/A</v>
      </c>
      <c r="H48" s="90" cm="1">
        <f t="array" ref="H48:I48">IF(E48=0,C48:D48,NA())</f>
        <v>28</v>
      </c>
      <c r="I48" s="90">
        <v>45</v>
      </c>
      <c r="J48" s="90">
        <v>28</v>
      </c>
      <c r="K48" s="90">
        <f t="shared" si="0"/>
        <v>55.909901405496115</v>
      </c>
    </row>
    <row r="49" spans="2:11" x14ac:dyDescent="0.3">
      <c r="B49" s="90">
        <v>1</v>
      </c>
      <c r="C49" s="90">
        <v>37</v>
      </c>
      <c r="D49" s="90">
        <v>38</v>
      </c>
      <c r="E49" s="90">
        <v>0</v>
      </c>
      <c r="F49" s="90" t="e" cm="1">
        <f t="array" ref="F49">IF(E49,C49:D49, NA())</f>
        <v>#N/A</v>
      </c>
      <c r="H49" s="90" cm="1">
        <f t="array" ref="H49:I49">IF(E49=0,C49:D49,NA())</f>
        <v>37</v>
      </c>
      <c r="I49" s="90">
        <v>38</v>
      </c>
      <c r="J49" s="90">
        <v>37</v>
      </c>
      <c r="K49" s="90">
        <f t="shared" si="0"/>
        <v>48.169183973148733</v>
      </c>
    </row>
    <row r="50" spans="2:11" x14ac:dyDescent="0.3">
      <c r="B50" s="90">
        <v>1</v>
      </c>
      <c r="C50" s="90">
        <v>71</v>
      </c>
      <c r="D50" s="90">
        <v>81</v>
      </c>
      <c r="E50" s="90">
        <v>1</v>
      </c>
      <c r="F50" s="90" cm="1">
        <f t="array" ref="F50:G50">IF(E50,C50:D50, NA())</f>
        <v>71</v>
      </c>
      <c r="G50" s="90">
        <v>81</v>
      </c>
      <c r="H50" s="90" t="e" cm="1">
        <f t="array" ref="H50">IF(E50=0,C50:D50,NA())</f>
        <v>#N/A</v>
      </c>
      <c r="J50" s="90">
        <v>71</v>
      </c>
      <c r="K50" s="90">
        <f t="shared" si="0"/>
        <v>18.926473673169703</v>
      </c>
    </row>
    <row r="51" spans="2:11" x14ac:dyDescent="0.3">
      <c r="B51" s="90">
        <v>1</v>
      </c>
      <c r="C51" s="90">
        <v>26</v>
      </c>
      <c r="D51" s="90">
        <v>34</v>
      </c>
      <c r="E51" s="90">
        <v>0</v>
      </c>
      <c r="F51" s="90" t="e" cm="1">
        <f t="array" ref="F51">IF(E51,C51:D51, NA())</f>
        <v>#N/A</v>
      </c>
      <c r="H51" s="90" cm="1">
        <f t="array" ref="H51:I51">IF(E51=0,C51:D51,NA())</f>
        <v>26</v>
      </c>
      <c r="I51" s="90">
        <v>34</v>
      </c>
      <c r="J51" s="90">
        <v>26</v>
      </c>
      <c r="K51" s="90">
        <f t="shared" si="0"/>
        <v>57.630060834906651</v>
      </c>
    </row>
    <row r="52" spans="2:11" x14ac:dyDescent="0.3">
      <c r="B52" s="90">
        <v>1</v>
      </c>
      <c r="C52" s="90">
        <v>75</v>
      </c>
      <c r="D52" s="90">
        <v>54</v>
      </c>
      <c r="E52" s="90">
        <v>1</v>
      </c>
      <c r="F52" s="90" cm="1">
        <f t="array" ref="F52:G52">IF(E52,C52:D52, NA())</f>
        <v>75</v>
      </c>
      <c r="G52" s="90">
        <v>54</v>
      </c>
      <c r="H52" s="90" t="e" cm="1">
        <f t="array" ref="H52">IF(E52=0,C52:D52,NA())</f>
        <v>#N/A</v>
      </c>
      <c r="J52" s="90">
        <v>75</v>
      </c>
      <c r="K52" s="90">
        <f t="shared" si="0"/>
        <v>15.486154814348637</v>
      </c>
    </row>
    <row r="53" spans="2:11" x14ac:dyDescent="0.3">
      <c r="B53" s="90">
        <v>1</v>
      </c>
      <c r="C53" s="90">
        <v>35</v>
      </c>
      <c r="D53" s="90">
        <v>98</v>
      </c>
      <c r="E53" s="90">
        <v>1</v>
      </c>
      <c r="F53" s="90" cm="1">
        <f t="array" ref="F53:G53">IF(E53,C53:D53, NA())</f>
        <v>35</v>
      </c>
      <c r="G53" s="90">
        <v>98</v>
      </c>
      <c r="H53" s="90" t="e" cm="1">
        <f t="array" ref="H53">IF(E53=0,C53:D53,NA())</f>
        <v>#N/A</v>
      </c>
      <c r="J53" s="90">
        <v>35</v>
      </c>
      <c r="K53" s="90">
        <f t="shared" si="0"/>
        <v>49.889343402559263</v>
      </c>
    </row>
    <row r="54" spans="2:11" x14ac:dyDescent="0.3">
      <c r="B54" s="90">
        <v>1</v>
      </c>
      <c r="C54" s="90">
        <v>23</v>
      </c>
      <c r="D54" s="90">
        <v>49</v>
      </c>
      <c r="E54" s="90">
        <v>0</v>
      </c>
      <c r="F54" s="90" t="e" cm="1">
        <f t="array" ref="F54">IF(E54,C54:D54, NA())</f>
        <v>#N/A</v>
      </c>
      <c r="H54" s="90" cm="1">
        <f t="array" ref="H54:I54">IF(E54=0,C54:D54,NA())</f>
        <v>23</v>
      </c>
      <c r="I54" s="90">
        <v>49</v>
      </c>
      <c r="J54" s="90">
        <v>23</v>
      </c>
      <c r="K54" s="90">
        <f t="shared" si="0"/>
        <v>60.210299979022452</v>
      </c>
    </row>
    <row r="55" spans="2:11" x14ac:dyDescent="0.3">
      <c r="B55" s="90">
        <v>1</v>
      </c>
      <c r="C55" s="90">
        <v>87</v>
      </c>
      <c r="D55" s="90">
        <v>99</v>
      </c>
      <c r="E55" s="90">
        <v>1</v>
      </c>
      <c r="F55" s="90" cm="1">
        <f t="array" ref="F55:G55">IF(E55,C55:D55, NA())</f>
        <v>87</v>
      </c>
      <c r="G55" s="90">
        <v>99</v>
      </c>
      <c r="H55" s="90" t="e" cm="1">
        <f t="array" ref="H55">IF(E55=0,C55:D55,NA())</f>
        <v>#N/A</v>
      </c>
      <c r="J55" s="90">
        <v>87</v>
      </c>
      <c r="K55" s="90">
        <f t="shared" si="0"/>
        <v>5.1651982378854626</v>
      </c>
    </row>
    <row r="56" spans="2:11" x14ac:dyDescent="0.3">
      <c r="B56" s="90">
        <v>1</v>
      </c>
      <c r="C56" s="90">
        <v>92</v>
      </c>
      <c r="D56" s="90">
        <v>76</v>
      </c>
      <c r="E56" s="90">
        <v>1</v>
      </c>
      <c r="F56" s="90" cm="1">
        <f t="array" ref="F56:G56">IF(E56,C56:D56, NA())</f>
        <v>92</v>
      </c>
      <c r="G56" s="90">
        <v>76</v>
      </c>
      <c r="H56" s="90" t="e" cm="1">
        <f t="array" ref="H56">IF(E56=0,C56:D56,NA())</f>
        <v>#N/A</v>
      </c>
      <c r="J56" s="90">
        <v>92</v>
      </c>
      <c r="K56" s="90">
        <f t="shared" si="0"/>
        <v>0.86479966435912559</v>
      </c>
    </row>
    <row r="57" spans="2:11" x14ac:dyDescent="0.3">
      <c r="B57" s="90">
        <v>1</v>
      </c>
      <c r="C57" s="90">
        <v>37</v>
      </c>
      <c r="D57" s="90">
        <v>71</v>
      </c>
      <c r="E57" s="90">
        <v>1</v>
      </c>
      <c r="F57" s="90" cm="1">
        <f t="array" ref="F57:G57">IF(E57,C57:D57, NA())</f>
        <v>37</v>
      </c>
      <c r="G57" s="90">
        <v>71</v>
      </c>
      <c r="H57" s="90" t="e" cm="1">
        <f t="array" ref="H57">IF(E57=0,C57:D57,NA())</f>
        <v>#N/A</v>
      </c>
      <c r="J57" s="90">
        <v>37</v>
      </c>
      <c r="K57" s="90">
        <f t="shared" si="0"/>
        <v>48.169183973148733</v>
      </c>
    </row>
    <row r="58" spans="2:11" x14ac:dyDescent="0.3">
      <c r="B58" s="90">
        <v>1</v>
      </c>
      <c r="C58" s="90">
        <v>45</v>
      </c>
      <c r="D58" s="90">
        <v>74</v>
      </c>
      <c r="E58" s="90">
        <v>1</v>
      </c>
      <c r="F58" s="90" cm="1">
        <f t="array" ref="F58:G58">IF(E58,C58:D58, NA())</f>
        <v>45</v>
      </c>
      <c r="G58" s="90">
        <v>74</v>
      </c>
      <c r="H58" s="90" t="e" cm="1">
        <f t="array" ref="H58">IF(E58=0,C58:D58,NA())</f>
        <v>#N/A</v>
      </c>
      <c r="J58" s="90">
        <v>45</v>
      </c>
      <c r="K58" s="90">
        <f t="shared" si="0"/>
        <v>41.28854625550661</v>
      </c>
    </row>
    <row r="59" spans="2:11" x14ac:dyDescent="0.3">
      <c r="B59" s="90">
        <v>1</v>
      </c>
      <c r="C59" s="90">
        <v>42</v>
      </c>
      <c r="D59" s="90">
        <v>59</v>
      </c>
      <c r="E59" s="90">
        <v>1</v>
      </c>
      <c r="F59" s="90" cm="1">
        <f t="array" ref="F59:G59">IF(E59,C59:D59, NA())</f>
        <v>42</v>
      </c>
      <c r="G59" s="90">
        <v>59</v>
      </c>
      <c r="H59" s="90" t="e" cm="1">
        <f t="array" ref="H59">IF(E59=0,C59:D59,NA())</f>
        <v>#N/A</v>
      </c>
      <c r="J59" s="90">
        <v>42</v>
      </c>
      <c r="K59" s="90">
        <f t="shared" si="0"/>
        <v>43.868785399622404</v>
      </c>
    </row>
    <row r="60" spans="2:11" x14ac:dyDescent="0.3">
      <c r="B60" s="90">
        <v>1</v>
      </c>
      <c r="C60" s="90">
        <v>31</v>
      </c>
      <c r="D60" s="90">
        <v>45</v>
      </c>
      <c r="E60" s="90">
        <v>0</v>
      </c>
      <c r="F60" s="90" t="e" cm="1">
        <f t="array" ref="F60">IF(E60,C60:D60, NA())</f>
        <v>#N/A</v>
      </c>
      <c r="H60" s="90" cm="1">
        <f t="array" ref="H60:I60">IF(E60=0,C60:D60,NA())</f>
        <v>31</v>
      </c>
      <c r="I60" s="90">
        <v>45</v>
      </c>
      <c r="J60" s="90">
        <v>31</v>
      </c>
      <c r="K60" s="90">
        <f t="shared" si="0"/>
        <v>53.329662261380321</v>
      </c>
    </row>
    <row r="61" spans="2:11" x14ac:dyDescent="0.3">
      <c r="B61" s="90">
        <v>1</v>
      </c>
      <c r="C61" s="90">
        <v>47</v>
      </c>
      <c r="D61" s="90">
        <v>52</v>
      </c>
      <c r="E61" s="90">
        <v>1</v>
      </c>
      <c r="F61" s="90" cm="1">
        <f t="array" ref="F61:G61">IF(E61,C61:D61, NA())</f>
        <v>47</v>
      </c>
      <c r="G61" s="90">
        <v>52</v>
      </c>
      <c r="H61" s="90" t="e" cm="1">
        <f t="array" ref="H61">IF(E61=0,C61:D61,NA())</f>
        <v>#N/A</v>
      </c>
      <c r="J61" s="90">
        <v>47</v>
      </c>
      <c r="K61" s="90">
        <f t="shared" si="0"/>
        <v>39.568386826096081</v>
      </c>
    </row>
    <row r="62" spans="2:11" x14ac:dyDescent="0.3">
      <c r="B62" s="90">
        <v>1</v>
      </c>
      <c r="C62" s="90">
        <v>68</v>
      </c>
      <c r="D62" s="90">
        <v>66</v>
      </c>
      <c r="E62" s="90">
        <v>1</v>
      </c>
      <c r="F62" s="90" cm="1">
        <f t="array" ref="F62:G62">IF(E62,C62:D62, NA())</f>
        <v>68</v>
      </c>
      <c r="G62" s="90">
        <v>66</v>
      </c>
      <c r="H62" s="90" t="e" cm="1">
        <f t="array" ref="H62">IF(E62=0,C62:D62,NA())</f>
        <v>#N/A</v>
      </c>
      <c r="J62" s="90">
        <v>68</v>
      </c>
      <c r="K62" s="90">
        <f t="shared" si="0"/>
        <v>21.506712817285496</v>
      </c>
    </row>
    <row r="63" spans="2:11" x14ac:dyDescent="0.3">
      <c r="B63" s="90">
        <v>1</v>
      </c>
      <c r="C63" s="90">
        <v>76</v>
      </c>
      <c r="D63" s="90">
        <v>49</v>
      </c>
      <c r="E63" s="90">
        <v>1</v>
      </c>
      <c r="F63" s="90" cm="1">
        <f t="array" ref="F63:G63">IF(E63,C63:D63, NA())</f>
        <v>76</v>
      </c>
      <c r="G63" s="90">
        <v>49</v>
      </c>
      <c r="H63" s="90" t="e" cm="1">
        <f t="array" ref="H63">IF(E63=0,C63:D63,NA())</f>
        <v>#N/A</v>
      </c>
      <c r="J63" s="90">
        <v>76</v>
      </c>
      <c r="K63" s="90">
        <f t="shared" si="0"/>
        <v>14.626075099643373</v>
      </c>
    </row>
    <row r="64" spans="2:11" x14ac:dyDescent="0.3">
      <c r="B64" s="90">
        <v>1</v>
      </c>
      <c r="C64" s="90">
        <v>86</v>
      </c>
      <c r="D64" s="90">
        <v>51</v>
      </c>
      <c r="E64" s="90">
        <v>1</v>
      </c>
      <c r="F64" s="90" cm="1">
        <f t="array" ref="F64:G64">IF(E64,C64:D64, NA())</f>
        <v>86</v>
      </c>
      <c r="G64" s="90">
        <v>51</v>
      </c>
      <c r="H64" s="90" t="e" cm="1">
        <f t="array" ref="H64">IF(E64=0,C64:D64,NA())</f>
        <v>#N/A</v>
      </c>
      <c r="J64" s="90">
        <v>86</v>
      </c>
      <c r="K64" s="90">
        <f t="shared" si="0"/>
        <v>6.0252779525907272</v>
      </c>
    </row>
    <row r="65" spans="2:11" x14ac:dyDescent="0.3">
      <c r="B65" s="90">
        <v>1</v>
      </c>
      <c r="C65" s="90">
        <v>60</v>
      </c>
      <c r="D65" s="90">
        <v>93</v>
      </c>
      <c r="E65" s="90">
        <v>1</v>
      </c>
      <c r="F65" s="90" cm="1">
        <f t="array" ref="F65:G65">IF(E65,C65:D65, NA())</f>
        <v>60</v>
      </c>
      <c r="G65" s="90">
        <v>93</v>
      </c>
      <c r="H65" s="90" t="e" cm="1">
        <f t="array" ref="H65">IF(E65=0,C65:D65,NA())</f>
        <v>#N/A</v>
      </c>
      <c r="J65" s="90">
        <v>60</v>
      </c>
      <c r="K65" s="90">
        <f t="shared" si="0"/>
        <v>28.387350534927627</v>
      </c>
    </row>
    <row r="66" spans="2:11" x14ac:dyDescent="0.3">
      <c r="B66" s="90">
        <v>1</v>
      </c>
      <c r="C66" s="90">
        <v>33</v>
      </c>
      <c r="D66" s="90">
        <v>70</v>
      </c>
      <c r="E66" s="90">
        <v>0</v>
      </c>
      <c r="F66" s="90" t="e" cm="1">
        <f t="array" ref="F66">IF(E66,C66:D66, NA())</f>
        <v>#N/A</v>
      </c>
      <c r="H66" s="90" cm="1">
        <f t="array" ref="H66:I66">IF(E66=0,C66:D66,NA())</f>
        <v>33</v>
      </c>
      <c r="I66" s="90">
        <v>70</v>
      </c>
      <c r="J66" s="90">
        <v>33</v>
      </c>
      <c r="K66" s="90">
        <f t="shared" si="0"/>
        <v>51.609502831969792</v>
      </c>
    </row>
    <row r="67" spans="2:11" x14ac:dyDescent="0.3">
      <c r="B67" s="90">
        <v>1</v>
      </c>
      <c r="C67" s="90">
        <v>56</v>
      </c>
      <c r="D67" s="90">
        <v>37</v>
      </c>
      <c r="E67" s="90">
        <v>1</v>
      </c>
      <c r="F67" s="90" cm="1">
        <f t="array" ref="F67:G67">IF(E67,C67:D67, NA())</f>
        <v>56</v>
      </c>
      <c r="G67" s="90">
        <v>37</v>
      </c>
      <c r="H67" s="90" t="e" cm="1">
        <f t="array" ref="H67">IF(E67=0,C67:D67,NA())</f>
        <v>#N/A</v>
      </c>
      <c r="J67" s="90">
        <v>56</v>
      </c>
      <c r="K67" s="90">
        <f t="shared" si="0"/>
        <v>31.827669393748685</v>
      </c>
    </row>
    <row r="68" spans="2:11" x14ac:dyDescent="0.3">
      <c r="B68" s="90">
        <v>1</v>
      </c>
      <c r="C68" s="90">
        <v>78</v>
      </c>
      <c r="D68" s="90">
        <v>25</v>
      </c>
      <c r="E68" s="90">
        <v>0</v>
      </c>
      <c r="F68" s="90" t="e" cm="1">
        <f t="array" ref="F68">IF(E68,C68:D68, NA())</f>
        <v>#N/A</v>
      </c>
      <c r="H68" s="90" cm="1">
        <f t="array" ref="H68:I68">IF(E68=0,C68:D68,NA())</f>
        <v>78</v>
      </c>
      <c r="I68" s="90">
        <v>25</v>
      </c>
      <c r="J68" s="90">
        <v>78</v>
      </c>
      <c r="K68" s="90">
        <f t="shared" si="0"/>
        <v>12.905915670232844</v>
      </c>
    </row>
    <row r="69" spans="2:11" x14ac:dyDescent="0.3">
      <c r="B69" s="90">
        <v>1</v>
      </c>
      <c r="C69" s="90">
        <v>51</v>
      </c>
      <c r="D69" s="90">
        <v>71</v>
      </c>
      <c r="E69" s="90">
        <v>1</v>
      </c>
      <c r="F69" s="90" cm="1">
        <f t="array" ref="F69:G69">IF(E69,C69:D69, NA())</f>
        <v>51</v>
      </c>
      <c r="G69" s="90">
        <v>71</v>
      </c>
      <c r="H69" s="90" t="e" cm="1">
        <f t="array" ref="H69">IF(E69=0,C69:D69,NA())</f>
        <v>#N/A</v>
      </c>
      <c r="J69" s="90">
        <v>51</v>
      </c>
      <c r="K69" s="90">
        <f t="shared" si="0"/>
        <v>36.128067967275015</v>
      </c>
    </row>
    <row r="70" spans="2:11" x14ac:dyDescent="0.3">
      <c r="B70" s="90">
        <v>1</v>
      </c>
      <c r="C70" s="90">
        <v>40</v>
      </c>
      <c r="D70" s="90">
        <v>99</v>
      </c>
      <c r="E70" s="90">
        <v>1</v>
      </c>
      <c r="F70" s="90" cm="1">
        <f t="array" ref="F70:G70">IF(E70,C70:D70, NA())</f>
        <v>40</v>
      </c>
      <c r="G70" s="90">
        <v>99</v>
      </c>
      <c r="H70" s="90" t="e" cm="1">
        <f t="array" ref="H70">IF(E70=0,C70:D70,NA())</f>
        <v>#N/A</v>
      </c>
      <c r="J70" s="90">
        <v>40</v>
      </c>
      <c r="K70" s="90">
        <f t="shared" si="0"/>
        <v>45.58894482903294</v>
      </c>
    </row>
    <row r="71" spans="2:11" x14ac:dyDescent="0.3">
      <c r="B71" s="90">
        <v>1</v>
      </c>
      <c r="C71" s="90">
        <v>36</v>
      </c>
      <c r="D71" s="90">
        <v>55</v>
      </c>
      <c r="E71" s="90">
        <v>0</v>
      </c>
      <c r="F71" s="90" t="e" cm="1">
        <f t="array" ref="F71">IF(E71,C71:D71, NA())</f>
        <v>#N/A</v>
      </c>
      <c r="H71" s="90" cm="1">
        <f t="array" ref="H71:I71">IF(E71=0,C71:D71,NA())</f>
        <v>36</v>
      </c>
      <c r="I71" s="90">
        <v>55</v>
      </c>
      <c r="J71" s="90">
        <v>36</v>
      </c>
      <c r="K71" s="90">
        <f t="shared" si="0"/>
        <v>49.029263687853998</v>
      </c>
    </row>
    <row r="72" spans="2:11" x14ac:dyDescent="0.3">
      <c r="B72" s="90">
        <v>1</v>
      </c>
      <c r="C72" s="90">
        <v>51</v>
      </c>
      <c r="D72" s="90">
        <v>38</v>
      </c>
      <c r="E72" s="90">
        <v>1</v>
      </c>
      <c r="F72" s="90" cm="1">
        <f t="array" ref="F72:G72">IF(E72,C72:D72, NA())</f>
        <v>51</v>
      </c>
      <c r="G72" s="90">
        <v>38</v>
      </c>
      <c r="H72" s="90" t="e" cm="1">
        <f t="array" ref="H72">IF(E72=0,C72:D72,NA())</f>
        <v>#N/A</v>
      </c>
      <c r="J72" s="90">
        <v>51</v>
      </c>
      <c r="K72" s="90">
        <f t="shared" si="0"/>
        <v>36.128067967275015</v>
      </c>
    </row>
    <row r="73" spans="2:11" x14ac:dyDescent="0.3">
      <c r="B73" s="90">
        <v>1</v>
      </c>
      <c r="C73" s="90">
        <v>46</v>
      </c>
      <c r="D73" s="90">
        <v>100</v>
      </c>
      <c r="E73" s="90">
        <v>1</v>
      </c>
      <c r="F73" s="90" cm="1">
        <f t="array" ref="F73:G73">IF(E73,C73:D73, NA())</f>
        <v>46</v>
      </c>
      <c r="G73" s="90">
        <v>100</v>
      </c>
      <c r="H73" s="90" t="e" cm="1">
        <f t="array" ref="H73">IF(E73=0,C73:D73,NA())</f>
        <v>#N/A</v>
      </c>
      <c r="J73" s="90">
        <v>46</v>
      </c>
      <c r="K73" s="90">
        <f t="shared" si="0"/>
        <v>40.428466540801345</v>
      </c>
    </row>
    <row r="74" spans="2:11" x14ac:dyDescent="0.3">
      <c r="B74" s="90">
        <v>1</v>
      </c>
      <c r="C74" s="90">
        <v>36</v>
      </c>
      <c r="D74" s="90">
        <v>49</v>
      </c>
      <c r="E74" s="90">
        <v>0</v>
      </c>
      <c r="F74" s="90" t="e" cm="1">
        <f t="array" ref="F74">IF(E74,C74:D74, NA())</f>
        <v>#N/A</v>
      </c>
      <c r="H74" s="90" cm="1">
        <f t="array" ref="H74:I74">IF(E74=0,C74:D74,NA())</f>
        <v>36</v>
      </c>
      <c r="I74" s="90">
        <v>49</v>
      </c>
      <c r="J74" s="90">
        <v>36</v>
      </c>
      <c r="K74" s="90">
        <f t="shared" si="0"/>
        <v>49.029263687853998</v>
      </c>
    </row>
    <row r="75" spans="2:11" x14ac:dyDescent="0.3">
      <c r="B75" s="90">
        <v>1</v>
      </c>
      <c r="C75" s="90">
        <v>38</v>
      </c>
      <c r="D75" s="90">
        <v>56</v>
      </c>
      <c r="E75" s="90">
        <v>0</v>
      </c>
      <c r="F75" s="90" t="e" cm="1">
        <f t="array" ref="F75">IF(E75,C75:D75, NA())</f>
        <v>#N/A</v>
      </c>
      <c r="H75" s="90" cm="1">
        <f t="array" ref="H75:I75">IF(E75=0,C75:D75,NA())</f>
        <v>38</v>
      </c>
      <c r="I75" s="90">
        <v>56</v>
      </c>
      <c r="J75" s="90">
        <v>38</v>
      </c>
      <c r="K75" s="90">
        <f t="shared" si="0"/>
        <v>47.309104258443462</v>
      </c>
    </row>
    <row r="76" spans="2:11" x14ac:dyDescent="0.3">
      <c r="B76" s="90">
        <v>1</v>
      </c>
      <c r="C76" s="90">
        <v>96</v>
      </c>
      <c r="D76" s="90">
        <v>46</v>
      </c>
      <c r="E76" s="90">
        <v>1</v>
      </c>
      <c r="F76" s="90" cm="1">
        <f t="array" ref="F76:G76">IF(E76,C76:D76, NA())</f>
        <v>96</v>
      </c>
      <c r="G76" s="90">
        <v>46</v>
      </c>
      <c r="H76" s="90" t="e" cm="1">
        <f t="array" ref="H76">IF(E76=0,C76:D76,NA())</f>
        <v>#N/A</v>
      </c>
      <c r="J76" s="90">
        <v>96</v>
      </c>
      <c r="K76" s="90">
        <f t="shared" si="0"/>
        <v>-2.5755191944619327</v>
      </c>
    </row>
    <row r="77" spans="2:11" x14ac:dyDescent="0.3">
      <c r="B77" s="90">
        <v>1</v>
      </c>
      <c r="C77" s="90">
        <v>97</v>
      </c>
      <c r="D77" s="90">
        <v>26</v>
      </c>
      <c r="E77" s="90">
        <v>0</v>
      </c>
      <c r="F77" s="90" t="e" cm="1">
        <f t="array" ref="F77">IF(E77,C77:D77, NA())</f>
        <v>#N/A</v>
      </c>
      <c r="H77" s="90" cm="1">
        <f t="array" ref="H77:I77">IF(E77=0,C77:D77,NA())</f>
        <v>97</v>
      </c>
      <c r="I77" s="90">
        <v>26</v>
      </c>
      <c r="J77" s="90">
        <v>97</v>
      </c>
      <c r="K77" s="90">
        <f t="shared" si="0"/>
        <v>-3.4355989091671972</v>
      </c>
    </row>
    <row r="78" spans="2:11" x14ac:dyDescent="0.3">
      <c r="B78" s="90">
        <v>1</v>
      </c>
      <c r="C78" s="90">
        <v>95</v>
      </c>
      <c r="D78" s="90">
        <v>21</v>
      </c>
      <c r="E78" s="90">
        <v>0</v>
      </c>
      <c r="F78" s="90" t="e" cm="1">
        <f t="array" ref="F78">IF(E78,C78:D78, NA())</f>
        <v>#N/A</v>
      </c>
      <c r="H78" s="90" cm="1">
        <f t="array" ref="H78:I78">IF(E78=0,C78:D78,NA())</f>
        <v>95</v>
      </c>
      <c r="I78" s="90">
        <v>21</v>
      </c>
      <c r="J78" s="90">
        <v>95</v>
      </c>
      <c r="K78" s="90">
        <f t="shared" si="0"/>
        <v>-1.7154394797566681</v>
      </c>
    </row>
    <row r="79" spans="2:11" x14ac:dyDescent="0.3">
      <c r="B79" s="90">
        <v>1</v>
      </c>
      <c r="C79" s="90">
        <v>54</v>
      </c>
      <c r="D79" s="90">
        <v>34</v>
      </c>
      <c r="E79" s="90">
        <v>0</v>
      </c>
      <c r="F79" s="90" t="e" cm="1">
        <f t="array" ref="F79">IF(E79,C79:D79, NA())</f>
        <v>#N/A</v>
      </c>
      <c r="H79" s="90" cm="1">
        <f t="array" ref="H79:I79">IF(E79=0,C79:D79,NA())</f>
        <v>54</v>
      </c>
      <c r="I79" s="90">
        <v>34</v>
      </c>
      <c r="J79" s="90">
        <v>54</v>
      </c>
      <c r="K79" s="90">
        <f t="shared" ref="K79:K113" si="1">-($D$4+$E$4*C79)/$F$4+$K$9</f>
        <v>33.547828823159222</v>
      </c>
    </row>
    <row r="80" spans="2:11" x14ac:dyDescent="0.3">
      <c r="B80" s="90">
        <v>1</v>
      </c>
      <c r="C80" s="90">
        <v>34</v>
      </c>
      <c r="D80" s="90">
        <v>87</v>
      </c>
      <c r="E80" s="90">
        <v>1</v>
      </c>
      <c r="F80" s="90" cm="1">
        <f t="array" ref="F80:G80">IF(E80,C80:D80, NA())</f>
        <v>34</v>
      </c>
      <c r="G80" s="90">
        <v>87</v>
      </c>
      <c r="H80" s="90" t="e" cm="1">
        <f t="array" ref="H80">IF(E80=0,C80:D80,NA())</f>
        <v>#N/A</v>
      </c>
      <c r="J80" s="90">
        <v>34</v>
      </c>
      <c r="K80" s="90">
        <f t="shared" si="1"/>
        <v>50.749423117264527</v>
      </c>
    </row>
    <row r="81" spans="2:11" x14ac:dyDescent="0.3">
      <c r="B81" s="90">
        <v>1</v>
      </c>
      <c r="C81" s="90">
        <v>94</v>
      </c>
      <c r="D81" s="90">
        <v>25</v>
      </c>
      <c r="E81" s="90">
        <v>0</v>
      </c>
      <c r="F81" s="90" t="e" cm="1">
        <f t="array" ref="F81">IF(E81,C81:D81, NA())</f>
        <v>#N/A</v>
      </c>
      <c r="H81" s="90" cm="1">
        <f t="array" ref="H81:I81">IF(E81=0,C81:D81,NA())</f>
        <v>94</v>
      </c>
      <c r="I81" s="90">
        <v>25</v>
      </c>
      <c r="J81" s="90">
        <v>94</v>
      </c>
      <c r="K81" s="90">
        <f t="shared" si="1"/>
        <v>-0.85535976505140354</v>
      </c>
    </row>
    <row r="82" spans="2:11" x14ac:dyDescent="0.3">
      <c r="B82" s="90">
        <v>1</v>
      </c>
      <c r="C82" s="90">
        <v>65</v>
      </c>
      <c r="D82" s="90">
        <v>27</v>
      </c>
      <c r="E82" s="90">
        <v>0</v>
      </c>
      <c r="F82" s="90" t="e" cm="1">
        <f t="array" ref="F82">IF(E82,C82:D82, NA())</f>
        <v>#N/A</v>
      </c>
      <c r="H82" s="90" cm="1">
        <f t="array" ref="H82:I82">IF(E82=0,C82:D82,NA())</f>
        <v>65</v>
      </c>
      <c r="I82" s="90">
        <v>27</v>
      </c>
      <c r="J82" s="90">
        <v>65</v>
      </c>
      <c r="K82" s="90">
        <f t="shared" si="1"/>
        <v>24.086951961401297</v>
      </c>
    </row>
    <row r="83" spans="2:11" x14ac:dyDescent="0.3">
      <c r="B83" s="90">
        <v>1</v>
      </c>
      <c r="C83" s="90">
        <v>97</v>
      </c>
      <c r="D83" s="90">
        <v>82</v>
      </c>
      <c r="E83" s="90">
        <v>1</v>
      </c>
      <c r="F83" s="90" cm="1">
        <f t="array" ref="F83:G83">IF(E83,C83:D83, NA())</f>
        <v>97</v>
      </c>
      <c r="G83" s="90">
        <v>82</v>
      </c>
      <c r="H83" s="90" t="e" cm="1">
        <f t="array" ref="H83">IF(E83=0,C83:D83,NA())</f>
        <v>#N/A</v>
      </c>
      <c r="J83" s="90">
        <v>97</v>
      </c>
      <c r="K83" s="90">
        <f t="shared" si="1"/>
        <v>-3.4355989091671972</v>
      </c>
    </row>
    <row r="84" spans="2:11" x14ac:dyDescent="0.3">
      <c r="B84" s="90">
        <v>1</v>
      </c>
      <c r="C84" s="90">
        <v>51</v>
      </c>
      <c r="D84" s="90">
        <v>98</v>
      </c>
      <c r="E84" s="90">
        <v>1</v>
      </c>
      <c r="F84" s="90" cm="1">
        <f t="array" ref="F84:G84">IF(E84,C84:D84, NA())</f>
        <v>51</v>
      </c>
      <c r="G84" s="90">
        <v>98</v>
      </c>
      <c r="H84" s="90" t="e" cm="1">
        <f t="array" ref="H84">IF(E84=0,C84:D84,NA())</f>
        <v>#N/A</v>
      </c>
      <c r="J84" s="90">
        <v>51</v>
      </c>
      <c r="K84" s="90">
        <f t="shared" si="1"/>
        <v>36.128067967275015</v>
      </c>
    </row>
    <row r="85" spans="2:11" x14ac:dyDescent="0.3">
      <c r="B85" s="90">
        <v>1</v>
      </c>
      <c r="C85" s="90">
        <v>37</v>
      </c>
      <c r="D85" s="90">
        <v>63</v>
      </c>
      <c r="E85" s="90">
        <v>0</v>
      </c>
      <c r="F85" s="90" t="e" cm="1">
        <f t="array" ref="F85">IF(E85,C85:D85, NA())</f>
        <v>#N/A</v>
      </c>
      <c r="H85" s="90" cm="1">
        <f t="array" ref="H85:I85">IF(E85=0,C85:D85,NA())</f>
        <v>37</v>
      </c>
      <c r="I85" s="90">
        <v>63</v>
      </c>
      <c r="J85" s="90">
        <v>37</v>
      </c>
      <c r="K85" s="90">
        <f t="shared" si="1"/>
        <v>48.169183973148733</v>
      </c>
    </row>
    <row r="86" spans="2:11" x14ac:dyDescent="0.3">
      <c r="B86" s="90">
        <v>1</v>
      </c>
      <c r="C86" s="90">
        <v>77</v>
      </c>
      <c r="D86" s="90">
        <v>93</v>
      </c>
      <c r="E86" s="90">
        <v>1</v>
      </c>
      <c r="F86" s="90" cm="1">
        <f t="array" ref="F86:G86">IF(E86,C86:D86, NA())</f>
        <v>77</v>
      </c>
      <c r="G86" s="90">
        <v>93</v>
      </c>
      <c r="H86" s="90" t="e" cm="1">
        <f t="array" ref="H86">IF(E86=0,C86:D86,NA())</f>
        <v>#N/A</v>
      </c>
      <c r="J86" s="90">
        <v>77</v>
      </c>
      <c r="K86" s="90">
        <f t="shared" si="1"/>
        <v>13.765995384938108</v>
      </c>
    </row>
    <row r="87" spans="2:11" x14ac:dyDescent="0.3">
      <c r="B87" s="90">
        <v>1</v>
      </c>
      <c r="C87" s="90">
        <v>31</v>
      </c>
      <c r="D87" s="90">
        <v>52</v>
      </c>
      <c r="E87" s="90">
        <v>0</v>
      </c>
      <c r="F87" s="90" t="e" cm="1">
        <f t="array" ref="F87">IF(E87,C87:D87, NA())</f>
        <v>#N/A</v>
      </c>
      <c r="H87" s="90" cm="1">
        <f t="array" ref="H87:I87">IF(E87=0,C87:D87,NA())</f>
        <v>31</v>
      </c>
      <c r="I87" s="90">
        <v>52</v>
      </c>
      <c r="J87" s="90">
        <v>31</v>
      </c>
      <c r="K87" s="90">
        <f t="shared" si="1"/>
        <v>53.329662261380321</v>
      </c>
    </row>
    <row r="88" spans="2:11" x14ac:dyDescent="0.3">
      <c r="B88" s="90">
        <v>1</v>
      </c>
      <c r="C88" s="90">
        <v>59</v>
      </c>
      <c r="D88" s="90">
        <v>60</v>
      </c>
      <c r="E88" s="90">
        <v>1</v>
      </c>
      <c r="F88" s="90" cm="1">
        <f t="array" ref="F88:G88">IF(E88,C88:D88, NA())</f>
        <v>59</v>
      </c>
      <c r="G88" s="90">
        <v>60</v>
      </c>
      <c r="H88" s="90" t="e" cm="1">
        <f t="array" ref="H88">IF(E88=0,C88:D88,NA())</f>
        <v>#N/A</v>
      </c>
      <c r="J88" s="90">
        <v>59</v>
      </c>
      <c r="K88" s="90">
        <f t="shared" si="1"/>
        <v>29.247430249632892</v>
      </c>
    </row>
    <row r="89" spans="2:11" x14ac:dyDescent="0.3">
      <c r="B89" s="90">
        <v>1</v>
      </c>
      <c r="C89" s="90">
        <v>35</v>
      </c>
      <c r="D89" s="90">
        <v>72</v>
      </c>
      <c r="E89" s="90">
        <v>0</v>
      </c>
      <c r="F89" s="90" t="e" cm="1">
        <f t="array" ref="F89">IF(E89,C89:D89, NA())</f>
        <v>#N/A</v>
      </c>
      <c r="H89" s="90" cm="1">
        <f t="array" ref="H89:I89">IF(E89=0,C89:D89,NA())</f>
        <v>35</v>
      </c>
      <c r="I89" s="90">
        <v>72</v>
      </c>
      <c r="J89" s="90">
        <v>35</v>
      </c>
      <c r="K89" s="90">
        <f t="shared" si="1"/>
        <v>49.889343402559263</v>
      </c>
    </row>
    <row r="90" spans="2:11" x14ac:dyDescent="0.3">
      <c r="B90" s="90">
        <v>1</v>
      </c>
      <c r="C90" s="90">
        <v>81</v>
      </c>
      <c r="D90" s="90">
        <v>42</v>
      </c>
      <c r="E90" s="90">
        <v>1</v>
      </c>
      <c r="F90" s="90" cm="1">
        <f t="array" ref="F90:G90">IF(E90,C90:D90, NA())</f>
        <v>81</v>
      </c>
      <c r="G90" s="90">
        <v>42</v>
      </c>
      <c r="H90" s="90" t="e" cm="1">
        <f t="array" ref="H90">IF(E90=0,C90:D90,NA())</f>
        <v>#N/A</v>
      </c>
      <c r="J90" s="90">
        <v>81</v>
      </c>
      <c r="K90" s="90">
        <f t="shared" si="1"/>
        <v>10.32567652611705</v>
      </c>
    </row>
    <row r="91" spans="2:11" x14ac:dyDescent="0.3">
      <c r="B91" s="90">
        <v>1</v>
      </c>
      <c r="C91" s="90">
        <v>83</v>
      </c>
      <c r="D91" s="90">
        <v>67</v>
      </c>
      <c r="E91" s="90">
        <v>1</v>
      </c>
      <c r="F91" s="90" cm="1">
        <f t="array" ref="F91:G91">IF(E91,C91:D91, NA())</f>
        <v>83</v>
      </c>
      <c r="G91" s="90">
        <v>67</v>
      </c>
      <c r="H91" s="90" t="e" cm="1">
        <f t="array" ref="H91">IF(E91=0,C91:D91,NA())</f>
        <v>#N/A</v>
      </c>
      <c r="J91" s="90">
        <v>83</v>
      </c>
      <c r="K91" s="90">
        <f t="shared" si="1"/>
        <v>8.6055170967065209</v>
      </c>
    </row>
    <row r="92" spans="2:11" x14ac:dyDescent="0.3">
      <c r="B92" s="90">
        <v>1</v>
      </c>
      <c r="C92" s="90">
        <v>77</v>
      </c>
      <c r="D92" s="90">
        <v>75</v>
      </c>
      <c r="E92" s="90">
        <v>1</v>
      </c>
      <c r="F92" s="90" cm="1">
        <f t="array" ref="F92:G92">IF(E92,C92:D92, NA())</f>
        <v>77</v>
      </c>
      <c r="G92" s="90">
        <v>75</v>
      </c>
      <c r="H92" s="90" t="e" cm="1">
        <f t="array" ref="H92">IF(E92=0,C92:D92,NA())</f>
        <v>#N/A</v>
      </c>
      <c r="J92" s="90">
        <v>77</v>
      </c>
      <c r="K92" s="90">
        <f t="shared" si="1"/>
        <v>13.765995384938108</v>
      </c>
    </row>
    <row r="93" spans="2:11" x14ac:dyDescent="0.3">
      <c r="B93" s="90">
        <v>1</v>
      </c>
      <c r="C93" s="90">
        <v>21</v>
      </c>
      <c r="D93" s="90">
        <v>28</v>
      </c>
      <c r="E93" s="90">
        <v>0</v>
      </c>
      <c r="F93" s="90" t="e" cm="1">
        <f t="array" ref="F93">IF(E93,C93:D93, NA())</f>
        <v>#N/A</v>
      </c>
      <c r="H93" s="90" cm="1">
        <f t="array" ref="H93:I93">IF(E93=0,C93:D93,NA())</f>
        <v>21</v>
      </c>
      <c r="I93" s="90">
        <v>28</v>
      </c>
      <c r="J93" s="90">
        <v>21</v>
      </c>
      <c r="K93" s="90">
        <f t="shared" si="1"/>
        <v>61.930459408432981</v>
      </c>
    </row>
    <row r="94" spans="2:11" x14ac:dyDescent="0.3">
      <c r="B94" s="90">
        <v>1</v>
      </c>
      <c r="C94" s="90">
        <v>59</v>
      </c>
      <c r="D94" s="90">
        <v>82</v>
      </c>
      <c r="E94" s="90">
        <v>1</v>
      </c>
      <c r="F94" s="90" cm="1">
        <f t="array" ref="F94:G94">IF(E94,C94:D94, NA())</f>
        <v>59</v>
      </c>
      <c r="G94" s="90">
        <v>82</v>
      </c>
      <c r="H94" s="90" t="e" cm="1">
        <f t="array" ref="H94">IF(E94=0,C94:D94,NA())</f>
        <v>#N/A</v>
      </c>
      <c r="J94" s="90">
        <v>59</v>
      </c>
      <c r="K94" s="90">
        <f t="shared" si="1"/>
        <v>29.247430249632892</v>
      </c>
    </row>
    <row r="95" spans="2:11" x14ac:dyDescent="0.3">
      <c r="B95" s="90">
        <v>1</v>
      </c>
      <c r="C95" s="90">
        <v>52</v>
      </c>
      <c r="D95" s="90">
        <v>66</v>
      </c>
      <c r="E95" s="90">
        <v>1</v>
      </c>
      <c r="F95" s="90" cm="1">
        <f t="array" ref="F95:G95">IF(E95,C95:D95, NA())</f>
        <v>52</v>
      </c>
      <c r="G95" s="90">
        <v>66</v>
      </c>
      <c r="H95" s="90" t="e" cm="1">
        <f t="array" ref="H95">IF(E95=0,C95:D95,NA())</f>
        <v>#N/A</v>
      </c>
      <c r="J95" s="90">
        <v>52</v>
      </c>
      <c r="K95" s="90">
        <f t="shared" si="1"/>
        <v>35.267988252569751</v>
      </c>
    </row>
    <row r="96" spans="2:11" x14ac:dyDescent="0.3">
      <c r="B96" s="90">
        <v>1</v>
      </c>
      <c r="C96" s="90">
        <v>93</v>
      </c>
      <c r="D96" s="90">
        <v>90</v>
      </c>
      <c r="E96" s="90">
        <v>1</v>
      </c>
      <c r="F96" s="90" cm="1">
        <f t="array" ref="F96:G96">IF(E96,C96:D96, NA())</f>
        <v>93</v>
      </c>
      <c r="G96" s="90">
        <v>90</v>
      </c>
      <c r="H96" s="90" t="e" cm="1">
        <f t="array" ref="H96">IF(E96=0,C96:D96,NA())</f>
        <v>#N/A</v>
      </c>
      <c r="J96" s="90">
        <v>93</v>
      </c>
      <c r="K96" s="90">
        <f t="shared" si="1"/>
        <v>4.7199496538610219E-3</v>
      </c>
    </row>
    <row r="97" spans="2:11" x14ac:dyDescent="0.3">
      <c r="B97" s="90">
        <v>1</v>
      </c>
      <c r="C97" s="90">
        <v>65</v>
      </c>
      <c r="D97" s="90">
        <v>28</v>
      </c>
      <c r="E97" s="90">
        <v>0</v>
      </c>
      <c r="F97" s="90" t="e" cm="1">
        <f t="array" ref="F97">IF(E97,C97:D97, NA())</f>
        <v>#N/A</v>
      </c>
      <c r="H97" s="90" cm="1">
        <f t="array" ref="H97:I97">IF(E97=0,C97:D97,NA())</f>
        <v>65</v>
      </c>
      <c r="I97" s="90">
        <v>28</v>
      </c>
      <c r="J97" s="90">
        <v>65</v>
      </c>
      <c r="K97" s="90">
        <f t="shared" si="1"/>
        <v>24.086951961401297</v>
      </c>
    </row>
    <row r="98" spans="2:11" x14ac:dyDescent="0.3">
      <c r="B98" s="90">
        <v>1</v>
      </c>
      <c r="C98" s="90">
        <v>45</v>
      </c>
      <c r="D98" s="90">
        <v>85</v>
      </c>
      <c r="E98" s="90">
        <v>1</v>
      </c>
      <c r="F98" s="90" cm="1">
        <f t="array" ref="F98:G98">IF(E98,C98:D98, NA())</f>
        <v>45</v>
      </c>
      <c r="G98" s="90">
        <v>85</v>
      </c>
      <c r="H98" s="90" t="e" cm="1">
        <f t="array" ref="H98">IF(E98=0,C98:D98,NA())</f>
        <v>#N/A</v>
      </c>
      <c r="J98" s="90">
        <v>45</v>
      </c>
      <c r="K98" s="90">
        <f t="shared" si="1"/>
        <v>41.28854625550661</v>
      </c>
    </row>
    <row r="99" spans="2:11" x14ac:dyDescent="0.3">
      <c r="B99" s="90">
        <v>1</v>
      </c>
      <c r="C99" s="90">
        <v>78</v>
      </c>
      <c r="D99" s="90">
        <v>85</v>
      </c>
      <c r="E99" s="90">
        <v>1</v>
      </c>
      <c r="F99" s="90" cm="1">
        <f t="array" ref="F99:G99">IF(E99,C99:D99, NA())</f>
        <v>78</v>
      </c>
      <c r="G99" s="90">
        <v>85</v>
      </c>
      <c r="H99" s="90" t="e" cm="1">
        <f t="array" ref="H99">IF(E99=0,C99:D99,NA())</f>
        <v>#N/A</v>
      </c>
      <c r="J99" s="90">
        <v>78</v>
      </c>
      <c r="K99" s="90">
        <f t="shared" si="1"/>
        <v>12.905915670232844</v>
      </c>
    </row>
    <row r="100" spans="2:11" x14ac:dyDescent="0.3">
      <c r="B100" s="90">
        <v>1</v>
      </c>
      <c r="C100" s="90">
        <v>50</v>
      </c>
      <c r="D100" s="90">
        <v>62</v>
      </c>
      <c r="E100" s="90">
        <v>1</v>
      </c>
      <c r="F100" s="90" cm="1">
        <f t="array" ref="F100:G100">IF(E100,C100:D100, NA())</f>
        <v>50</v>
      </c>
      <c r="G100" s="90">
        <v>62</v>
      </c>
      <c r="H100" s="90" t="e" cm="1">
        <f t="array" ref="H100">IF(E100=0,C100:D100,NA())</f>
        <v>#N/A</v>
      </c>
      <c r="J100" s="90">
        <v>50</v>
      </c>
      <c r="K100" s="90">
        <f t="shared" si="1"/>
        <v>36.98814768198028</v>
      </c>
    </row>
    <row r="101" spans="2:11" x14ac:dyDescent="0.3">
      <c r="B101" s="90">
        <v>1</v>
      </c>
      <c r="C101" s="90">
        <v>91</v>
      </c>
      <c r="D101" s="90">
        <v>71</v>
      </c>
      <c r="E101" s="90">
        <v>1</v>
      </c>
      <c r="F101" s="90" cm="1">
        <f t="array" ref="F101:G101">IF(E101,C101:D101, NA())</f>
        <v>91</v>
      </c>
      <c r="G101" s="90">
        <v>71</v>
      </c>
      <c r="H101" s="90" t="e" cm="1">
        <f t="array" ref="H101">IF(E101=0,C101:D101,NA())</f>
        <v>#N/A</v>
      </c>
      <c r="J101" s="90">
        <v>91</v>
      </c>
      <c r="K101" s="90">
        <f t="shared" si="1"/>
        <v>1.7248793790643902</v>
      </c>
    </row>
    <row r="102" spans="2:11" x14ac:dyDescent="0.3">
      <c r="B102" s="90">
        <v>1</v>
      </c>
      <c r="C102" s="90">
        <v>80</v>
      </c>
      <c r="D102" s="90">
        <v>36</v>
      </c>
      <c r="E102" s="90">
        <v>1</v>
      </c>
      <c r="F102" s="90" cm="1">
        <f t="array" ref="F102:G102">IF(E102,C102:D102, NA())</f>
        <v>80</v>
      </c>
      <c r="G102" s="90">
        <v>36</v>
      </c>
      <c r="H102" s="90" t="e" cm="1">
        <f t="array" ref="H102">IF(E102=0,C102:D102,NA())</f>
        <v>#N/A</v>
      </c>
      <c r="J102" s="90">
        <v>80</v>
      </c>
      <c r="K102" s="90">
        <f t="shared" si="1"/>
        <v>11.185756240822315</v>
      </c>
    </row>
    <row r="103" spans="2:11" x14ac:dyDescent="0.3">
      <c r="B103" s="90">
        <v>1</v>
      </c>
      <c r="C103" s="90">
        <v>93</v>
      </c>
      <c r="D103" s="90">
        <v>61</v>
      </c>
      <c r="E103" s="90">
        <v>1</v>
      </c>
      <c r="F103" s="90" cm="1">
        <f t="array" ref="F103:G103">IF(E103,C103:D103, NA())</f>
        <v>93</v>
      </c>
      <c r="G103" s="90">
        <v>61</v>
      </c>
      <c r="H103" s="90" t="e" cm="1">
        <f t="array" ref="H103">IF(E103=0,C103:D103,NA())</f>
        <v>#N/A</v>
      </c>
      <c r="J103" s="90">
        <v>93</v>
      </c>
      <c r="K103" s="90">
        <f t="shared" si="1"/>
        <v>4.7199496538610219E-3</v>
      </c>
    </row>
    <row r="104" spans="2:11" x14ac:dyDescent="0.3">
      <c r="B104" s="90">
        <v>1</v>
      </c>
      <c r="C104" s="90">
        <v>82</v>
      </c>
      <c r="D104" s="90">
        <v>37</v>
      </c>
      <c r="E104" s="90">
        <v>1</v>
      </c>
      <c r="F104" s="90" cm="1">
        <f t="array" ref="F104:G104">IF(E104,C104:D104, NA())</f>
        <v>82</v>
      </c>
      <c r="G104" s="90">
        <v>37</v>
      </c>
      <c r="H104" s="90" t="e" cm="1">
        <f t="array" ref="H104">IF(E104=0,C104:D104,NA())</f>
        <v>#N/A</v>
      </c>
      <c r="J104" s="90">
        <v>82</v>
      </c>
      <c r="K104" s="90">
        <f t="shared" si="1"/>
        <v>9.4655968114117854</v>
      </c>
    </row>
    <row r="105" spans="2:11" x14ac:dyDescent="0.3">
      <c r="B105" s="90">
        <v>1</v>
      </c>
      <c r="C105" s="90">
        <v>98</v>
      </c>
      <c r="D105" s="90">
        <v>33</v>
      </c>
      <c r="E105" s="90">
        <v>1</v>
      </c>
      <c r="F105" s="90" cm="1">
        <f t="array" ref="F105:G105">IF(E105,C105:D105, NA())</f>
        <v>98</v>
      </c>
      <c r="G105" s="90">
        <v>33</v>
      </c>
      <c r="H105" s="90" t="e" cm="1">
        <f t="array" ref="H105">IF(E105=0,C105:D105,NA())</f>
        <v>#N/A</v>
      </c>
      <c r="J105" s="90">
        <v>98</v>
      </c>
      <c r="K105" s="90">
        <f t="shared" si="1"/>
        <v>-4.2956786238724618</v>
      </c>
    </row>
    <row r="106" spans="2:11" x14ac:dyDescent="0.3">
      <c r="B106" s="90">
        <v>1</v>
      </c>
      <c r="C106" s="90">
        <v>43</v>
      </c>
      <c r="D106" s="90">
        <v>57</v>
      </c>
      <c r="E106" s="90">
        <v>1</v>
      </c>
      <c r="F106" s="90" cm="1">
        <f t="array" ref="F106:G106">IF(E106,C106:D106, NA())</f>
        <v>43</v>
      </c>
      <c r="G106" s="90">
        <v>57</v>
      </c>
      <c r="H106" s="90" t="e" cm="1">
        <f t="array" ref="H106">IF(E106=0,C106:D106,NA())</f>
        <v>#N/A</v>
      </c>
      <c r="J106" s="90">
        <v>43</v>
      </c>
      <c r="K106" s="90">
        <f t="shared" si="1"/>
        <v>43.008705684917139</v>
      </c>
    </row>
    <row r="107" spans="2:11" x14ac:dyDescent="0.3">
      <c r="B107" s="90">
        <v>1</v>
      </c>
      <c r="C107" s="90">
        <v>38</v>
      </c>
      <c r="D107" s="90">
        <v>67</v>
      </c>
      <c r="E107" s="90">
        <v>1</v>
      </c>
      <c r="F107" s="90" cm="1">
        <f t="array" ref="F107:G107">IF(E107,C107:D107, NA())</f>
        <v>38</v>
      </c>
      <c r="G107" s="90">
        <v>67</v>
      </c>
      <c r="H107" s="90" t="e" cm="1">
        <f t="array" ref="H107">IF(E107=0,C107:D107,NA())</f>
        <v>#N/A</v>
      </c>
      <c r="J107" s="90">
        <v>38</v>
      </c>
      <c r="K107" s="90">
        <f t="shared" si="1"/>
        <v>47.309104258443462</v>
      </c>
    </row>
    <row r="108" spans="2:11" x14ac:dyDescent="0.3">
      <c r="B108" s="90">
        <v>1</v>
      </c>
      <c r="C108" s="90">
        <v>56</v>
      </c>
      <c r="D108" s="90">
        <v>26</v>
      </c>
      <c r="E108" s="90">
        <v>0</v>
      </c>
      <c r="F108" s="90" t="e" cm="1">
        <f t="array" ref="F108">IF(E108,C108:D108, NA())</f>
        <v>#N/A</v>
      </c>
      <c r="H108" s="90" cm="1">
        <f t="array" ref="H108:I108">IF(E108=0,C108:D108,NA())</f>
        <v>56</v>
      </c>
      <c r="I108" s="90">
        <v>26</v>
      </c>
      <c r="J108" s="90">
        <v>56</v>
      </c>
      <c r="K108" s="90">
        <f t="shared" si="1"/>
        <v>31.827669393748685</v>
      </c>
    </row>
    <row r="109" spans="2:11" x14ac:dyDescent="0.3">
      <c r="B109" s="90">
        <v>1</v>
      </c>
      <c r="C109" s="90">
        <v>46</v>
      </c>
      <c r="D109" s="90">
        <v>98</v>
      </c>
      <c r="E109" s="90">
        <v>1</v>
      </c>
      <c r="F109" s="90" cm="1">
        <f t="array" ref="F109:G109">IF(E109,C109:D109, NA())</f>
        <v>46</v>
      </c>
      <c r="G109" s="90">
        <v>98</v>
      </c>
      <c r="H109" s="90" t="e" cm="1">
        <f t="array" ref="H109">IF(E109=0,C109:D109,NA())</f>
        <v>#N/A</v>
      </c>
      <c r="J109" s="90">
        <v>46</v>
      </c>
      <c r="K109" s="90">
        <f t="shared" si="1"/>
        <v>40.428466540801345</v>
      </c>
    </row>
    <row r="110" spans="2:11" x14ac:dyDescent="0.3">
      <c r="B110" s="90">
        <v>1</v>
      </c>
      <c r="C110" s="90">
        <v>34</v>
      </c>
      <c r="D110" s="90">
        <v>86</v>
      </c>
      <c r="E110" s="90">
        <v>1</v>
      </c>
      <c r="F110" s="90" cm="1">
        <f t="array" ref="F110:G110">IF(E110,C110:D110, NA())</f>
        <v>34</v>
      </c>
      <c r="G110" s="90">
        <v>86</v>
      </c>
      <c r="H110" s="90" t="e" cm="1">
        <f t="array" ref="H110">IF(E110=0,C110:D110,NA())</f>
        <v>#N/A</v>
      </c>
      <c r="J110" s="90">
        <v>34</v>
      </c>
      <c r="K110" s="90">
        <f t="shared" si="1"/>
        <v>50.749423117264527</v>
      </c>
    </row>
    <row r="111" spans="2:11" x14ac:dyDescent="0.3">
      <c r="B111" s="90">
        <v>1</v>
      </c>
      <c r="C111" s="90">
        <v>52</v>
      </c>
      <c r="D111" s="90">
        <v>92</v>
      </c>
      <c r="E111" s="90">
        <v>1</v>
      </c>
      <c r="F111" s="90" cm="1">
        <f t="array" ref="F111:G111">IF(E111,C111:D111, NA())</f>
        <v>52</v>
      </c>
      <c r="G111" s="90">
        <v>92</v>
      </c>
      <c r="H111" s="90" t="e" cm="1">
        <f t="array" ref="H111">IF(E111=0,C111:D111,NA())</f>
        <v>#N/A</v>
      </c>
      <c r="J111" s="90">
        <v>52</v>
      </c>
      <c r="K111" s="90">
        <f t="shared" si="1"/>
        <v>35.267988252569751</v>
      </c>
    </row>
    <row r="112" spans="2:11" x14ac:dyDescent="0.3">
      <c r="B112" s="90">
        <v>1</v>
      </c>
      <c r="C112" s="90">
        <v>82</v>
      </c>
      <c r="D112" s="90">
        <v>100</v>
      </c>
      <c r="E112" s="90">
        <v>1</v>
      </c>
      <c r="F112" s="90" cm="1">
        <f t="array" ref="F112:G112">IF(E112,C112:D112, NA())</f>
        <v>82</v>
      </c>
      <c r="G112" s="90">
        <v>100</v>
      </c>
      <c r="H112" s="90" t="e" cm="1">
        <f t="array" ref="H112">IF(E112=0,C112:D112,NA())</f>
        <v>#N/A</v>
      </c>
      <c r="J112" s="90">
        <v>82</v>
      </c>
      <c r="K112" s="90">
        <f t="shared" si="1"/>
        <v>9.4655968114117854</v>
      </c>
    </row>
    <row r="113" spans="2:11" x14ac:dyDescent="0.3">
      <c r="B113" s="90">
        <v>1</v>
      </c>
      <c r="C113" s="90">
        <v>74</v>
      </c>
      <c r="D113" s="90">
        <v>87</v>
      </c>
      <c r="E113" s="90">
        <v>1</v>
      </c>
      <c r="F113" s="90" cm="1">
        <f t="array" ref="F113:G113">IF(E113,C113:D113, NA())</f>
        <v>74</v>
      </c>
      <c r="G113" s="90">
        <v>87</v>
      </c>
      <c r="H113" s="90" t="e" cm="1">
        <f t="array" ref="H113">IF(E113=0,C113:D113,NA())</f>
        <v>#N/A</v>
      </c>
      <c r="J113" s="90">
        <v>74</v>
      </c>
      <c r="K113" s="90">
        <f t="shared" si="1"/>
        <v>16.346234529053909</v>
      </c>
    </row>
  </sheetData>
  <mergeCells count="2">
    <mergeCell ref="F13:G13"/>
    <mergeCell ref="H13:I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Wykresy</vt:lpstr>
      <vt:lpstr>Klasyfikator</vt:lpstr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2025-12-11T18:09:34Z</dcterms:modified>
</cp:coreProperties>
</file>